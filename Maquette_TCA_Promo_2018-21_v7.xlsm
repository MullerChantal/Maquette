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P:\FORMATION\TC\003_ALTERNANCE\MAQUETTE\2018-19\"/>
    </mc:Choice>
  </mc:AlternateContent>
  <bookViews>
    <workbookView xWindow="0" yWindow="0" windowWidth="23040" windowHeight="9732" tabRatio="766" activeTab="1"/>
  </bookViews>
  <sheets>
    <sheet name="UE-A1" sheetId="13" r:id="rId1"/>
    <sheet name="Année 1" sheetId="4" r:id="rId2"/>
    <sheet name="UE-A2" sheetId="22" r:id="rId3"/>
    <sheet name="Année 2" sheetId="20" r:id="rId4"/>
    <sheet name="UE-A3" sheetId="19" r:id="rId5"/>
    <sheet name="UE-A3 (old)" sheetId="25" r:id="rId6"/>
    <sheet name="Année 3" sheetId="6" r:id="rId7"/>
    <sheet name="Totaux_ects_et_heures" sheetId="23" r:id="rId8"/>
    <sheet name="Maquette totale TC" sheetId="8" r:id="rId9"/>
    <sheet name="Semaine rentrée" sheetId="11" r:id="rId10"/>
  </sheets>
  <definedNames>
    <definedName name="_xlnm.Print_Area" localSheetId="1">'Année 1'!$A$1:$R$64</definedName>
    <definedName name="_xlnm.Print_Area" localSheetId="3">'Année 2'!$A$1:$R$56</definedName>
    <definedName name="_xlnm.Print_Area" localSheetId="6">'Année 3'!$A$1:$R$55</definedName>
    <definedName name="_xlnm.Print_Area" localSheetId="0">'UE-A1'!#REF!</definedName>
    <definedName name="_xlnm.Print_Area" localSheetId="4">'UE-A3'!#REF!</definedName>
    <definedName name="_xlnm.Print_Area" localSheetId="5">'UE-A3 (old)'!#REF!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2" i="19" l="1"/>
  <c r="E28" i="19"/>
  <c r="E16" i="19"/>
  <c r="E13" i="19"/>
  <c r="E8" i="19"/>
  <c r="E64" i="25"/>
  <c r="I60" i="25"/>
  <c r="E60" i="25"/>
  <c r="E54" i="25"/>
  <c r="E53" i="25"/>
  <c r="F50" i="25"/>
  <c r="F49" i="25"/>
  <c r="E49" i="25"/>
  <c r="E50" i="25" s="1"/>
  <c r="F48" i="25"/>
  <c r="E48" i="25"/>
  <c r="E34" i="25"/>
  <c r="E30" i="25"/>
  <c r="E18" i="25"/>
  <c r="E14" i="25"/>
  <c r="E11" i="25"/>
  <c r="E8" i="25"/>
  <c r="E57" i="22"/>
  <c r="E52" i="22"/>
  <c r="E47" i="22"/>
  <c r="E41" i="22"/>
  <c r="E29" i="22"/>
  <c r="E24" i="22"/>
  <c r="E19" i="22"/>
  <c r="E14" i="22"/>
  <c r="E8" i="22"/>
  <c r="E61" i="13"/>
  <c r="E55" i="13"/>
  <c r="E50" i="13"/>
  <c r="E44" i="13"/>
  <c r="E38" i="13"/>
  <c r="E25" i="13"/>
  <c r="E20" i="13"/>
  <c r="E14" i="13"/>
  <c r="E8" i="13"/>
  <c r="K6" i="23"/>
  <c r="L6" i="23"/>
  <c r="K8" i="23"/>
  <c r="L8" i="23"/>
  <c r="K10" i="23"/>
  <c r="L10" i="23"/>
  <c r="K12" i="23"/>
  <c r="L12" i="23"/>
  <c r="K13" i="23"/>
  <c r="L13" i="23"/>
  <c r="K14" i="23"/>
  <c r="L14" i="23"/>
  <c r="G6" i="23"/>
  <c r="H6" i="23"/>
  <c r="G8" i="23"/>
  <c r="H8" i="23"/>
  <c r="G10" i="23"/>
  <c r="H10" i="23"/>
  <c r="G12" i="23"/>
  <c r="H12" i="23"/>
  <c r="G13" i="23"/>
  <c r="H13" i="23"/>
  <c r="G14" i="23"/>
  <c r="H14" i="23"/>
  <c r="C6" i="23"/>
  <c r="D6" i="23"/>
  <c r="C8" i="23"/>
  <c r="D8" i="23"/>
  <c r="C10" i="23"/>
  <c r="D10" i="23"/>
  <c r="C12" i="23"/>
  <c r="D12" i="23"/>
  <c r="C13" i="23"/>
  <c r="D13" i="23"/>
  <c r="C14" i="23"/>
  <c r="D14" i="23"/>
  <c r="E56" i="25" l="1"/>
  <c r="O6" i="23"/>
  <c r="O13" i="23"/>
  <c r="P8" i="23"/>
  <c r="O8" i="23"/>
  <c r="O12" i="23"/>
  <c r="P13" i="23"/>
  <c r="P6" i="23"/>
  <c r="O14" i="23"/>
  <c r="O10" i="23"/>
  <c r="P12" i="23"/>
  <c r="P10" i="23"/>
  <c r="P14" i="23"/>
  <c r="R6" i="20"/>
  <c r="I41" i="6"/>
  <c r="R14" i="6"/>
  <c r="R13" i="6"/>
  <c r="R10" i="6"/>
  <c r="R9" i="6"/>
  <c r="R8" i="6"/>
  <c r="R6" i="6"/>
  <c r="P16" i="23" l="1"/>
  <c r="O16" i="23"/>
  <c r="R8" i="4"/>
  <c r="R11" i="20" l="1"/>
  <c r="R55" i="4"/>
  <c r="R40" i="4"/>
  <c r="G44" i="20" l="1"/>
  <c r="J41" i="6" l="1"/>
  <c r="I42" i="6" l="1"/>
  <c r="R28" i="20" l="1"/>
  <c r="G45" i="4"/>
  <c r="R44" i="4"/>
  <c r="F45" i="4"/>
  <c r="H45" i="4"/>
  <c r="I45" i="4"/>
  <c r="K45" i="4"/>
  <c r="L45" i="4"/>
  <c r="M45" i="4"/>
  <c r="N45" i="4"/>
  <c r="E45" i="4" l="1"/>
  <c r="R40" i="20"/>
  <c r="R54" i="4"/>
  <c r="R56" i="4"/>
  <c r="S39" i="4"/>
  <c r="R39" i="4"/>
  <c r="R42" i="4"/>
  <c r="N15" i="6" l="1"/>
  <c r="N22" i="6" s="1"/>
  <c r="H25" i="6" s="1"/>
  <c r="G6" i="8" s="1"/>
  <c r="L15" i="6"/>
  <c r="L22" i="6" s="1"/>
  <c r="J15" i="6"/>
  <c r="J22" i="6" s="1"/>
  <c r="H24" i="6" s="1"/>
  <c r="I15" i="6"/>
  <c r="I22" i="6" s="1"/>
  <c r="H26" i="6" s="1"/>
  <c r="G7" i="8" s="1"/>
  <c r="G15" i="6"/>
  <c r="G22" i="6" s="1"/>
  <c r="F16" i="6"/>
  <c r="K10" i="6"/>
  <c r="K15" i="6" s="1"/>
  <c r="K22" i="6" s="1"/>
  <c r="L68" i="4"/>
  <c r="L79" i="4" s="1"/>
  <c r="B18" i="11"/>
  <c r="B26" i="11" s="1"/>
  <c r="B34" i="11" s="1"/>
  <c r="B41" i="11" s="1"/>
  <c r="B52" i="11"/>
  <c r="B57" i="11" s="1"/>
  <c r="B62" i="11" s="1"/>
  <c r="F60" i="4"/>
  <c r="F28" i="4"/>
  <c r="F12" i="4"/>
  <c r="G60" i="4"/>
  <c r="G28" i="4"/>
  <c r="G12" i="4"/>
  <c r="H60" i="4"/>
  <c r="H28" i="4"/>
  <c r="H12" i="4"/>
  <c r="F6" i="8"/>
  <c r="K60" i="4"/>
  <c r="K28" i="4"/>
  <c r="K12" i="4"/>
  <c r="F7" i="8"/>
  <c r="M60" i="4"/>
  <c r="M28" i="4"/>
  <c r="M12" i="4"/>
  <c r="N60" i="4"/>
  <c r="N28" i="4"/>
  <c r="N12" i="4"/>
  <c r="F8" i="8"/>
  <c r="F7" i="6"/>
  <c r="R7" i="6" s="1"/>
  <c r="H15" i="6"/>
  <c r="H22" i="6" s="1"/>
  <c r="I60" i="4"/>
  <c r="I28" i="4"/>
  <c r="I12" i="4"/>
  <c r="F9" i="8"/>
  <c r="G9" i="8"/>
  <c r="F10" i="8"/>
  <c r="G10" i="8"/>
  <c r="E11" i="8"/>
  <c r="F11" i="8"/>
  <c r="E12" i="8"/>
  <c r="F12" i="8"/>
  <c r="N24" i="6"/>
  <c r="H76" i="4"/>
  <c r="E15" i="8" s="1"/>
  <c r="F14" i="8"/>
  <c r="G14" i="8"/>
  <c r="F15" i="8"/>
  <c r="G15" i="8"/>
  <c r="N69" i="4"/>
  <c r="C17" i="8" s="1"/>
  <c r="C19" i="8" s="1"/>
  <c r="Q69" i="4"/>
  <c r="C18" i="8" s="1"/>
  <c r="R12" i="6"/>
  <c r="P15" i="6"/>
  <c r="P22" i="6" s="1"/>
  <c r="D16" i="6"/>
  <c r="E16" i="6"/>
  <c r="Q22" i="6"/>
  <c r="P24" i="6"/>
  <c r="Q24" i="6"/>
  <c r="L35" i="6"/>
  <c r="R7" i="20"/>
  <c r="R8" i="20"/>
  <c r="R9" i="20"/>
  <c r="R24" i="20"/>
  <c r="R37" i="20"/>
  <c r="R12" i="20"/>
  <c r="F13" i="20"/>
  <c r="G13" i="20"/>
  <c r="H13" i="20"/>
  <c r="I13" i="20"/>
  <c r="K13" i="20"/>
  <c r="L13" i="20"/>
  <c r="M13" i="20"/>
  <c r="N13" i="20"/>
  <c r="D14" i="20"/>
  <c r="E14" i="20"/>
  <c r="F14" i="20"/>
  <c r="R20" i="20"/>
  <c r="R21" i="20"/>
  <c r="R22" i="20"/>
  <c r="R23" i="20"/>
  <c r="R25" i="20"/>
  <c r="R26" i="20"/>
  <c r="R27" i="20"/>
  <c r="F29" i="20"/>
  <c r="G29" i="20"/>
  <c r="H29" i="20"/>
  <c r="I29" i="20"/>
  <c r="K29" i="20"/>
  <c r="L29" i="20"/>
  <c r="M29" i="20"/>
  <c r="N29" i="20"/>
  <c r="D30" i="20"/>
  <c r="E30" i="20"/>
  <c r="F30" i="20"/>
  <c r="M35" i="20"/>
  <c r="N35" i="20"/>
  <c r="R36" i="20"/>
  <c r="R10" i="20"/>
  <c r="R38" i="20"/>
  <c r="R39" i="20"/>
  <c r="R41" i="20"/>
  <c r="R42" i="20"/>
  <c r="R43" i="20"/>
  <c r="R44" i="20"/>
  <c r="F45" i="20"/>
  <c r="G45" i="20"/>
  <c r="H45" i="20"/>
  <c r="I45" i="20"/>
  <c r="K45" i="20"/>
  <c r="L45" i="20"/>
  <c r="M45" i="20"/>
  <c r="N45" i="20"/>
  <c r="D46" i="20"/>
  <c r="E46" i="20"/>
  <c r="F46" i="20"/>
  <c r="B51" i="20"/>
  <c r="O53" i="20"/>
  <c r="P53" i="20"/>
  <c r="Q53" i="20"/>
  <c r="L54" i="20"/>
  <c r="N55" i="20"/>
  <c r="H62" i="20" s="1"/>
  <c r="K62" i="20" s="1"/>
  <c r="P55" i="20"/>
  <c r="Q55" i="20"/>
  <c r="L65" i="20"/>
  <c r="R6" i="4"/>
  <c r="R7" i="4"/>
  <c r="R9" i="4"/>
  <c r="R10" i="4"/>
  <c r="R11" i="4"/>
  <c r="L12" i="4"/>
  <c r="N80" i="4" s="1"/>
  <c r="D13" i="4"/>
  <c r="E13" i="4"/>
  <c r="M18" i="4"/>
  <c r="M34" i="4" s="1"/>
  <c r="M51" i="4" s="1"/>
  <c r="N18" i="4"/>
  <c r="N34" i="4" s="1"/>
  <c r="N51" i="4" s="1"/>
  <c r="Q18" i="4"/>
  <c r="Q34" i="4" s="1"/>
  <c r="Q51" i="4" s="1"/>
  <c r="R20" i="4"/>
  <c r="R21" i="4"/>
  <c r="R24" i="4"/>
  <c r="R25" i="4"/>
  <c r="R26" i="4"/>
  <c r="R27" i="4"/>
  <c r="L28" i="4"/>
  <c r="N81" i="4" s="1"/>
  <c r="O28" i="4"/>
  <c r="D29" i="4"/>
  <c r="E29" i="4"/>
  <c r="R35" i="4"/>
  <c r="R36" i="4"/>
  <c r="R38" i="4"/>
  <c r="R37" i="4"/>
  <c r="R23" i="4"/>
  <c r="R41" i="4"/>
  <c r="R43" i="4"/>
  <c r="N82" i="4"/>
  <c r="D46" i="4"/>
  <c r="E46" i="4"/>
  <c r="R52" i="4"/>
  <c r="R22" i="4"/>
  <c r="R53" i="4"/>
  <c r="R57" i="4"/>
  <c r="R58" i="4"/>
  <c r="L60" i="4"/>
  <c r="N83" i="4" s="1"/>
  <c r="D61" i="4"/>
  <c r="E61" i="4"/>
  <c r="R63" i="4"/>
  <c r="P80" i="4"/>
  <c r="P81" i="4"/>
  <c r="P82" i="4"/>
  <c r="P83" i="4"/>
  <c r="Q80" i="4"/>
  <c r="Q81" i="4"/>
  <c r="Q82" i="4"/>
  <c r="Q83" i="4"/>
  <c r="F15" i="6"/>
  <c r="F22" i="6" s="1"/>
  <c r="R15" i="6" l="1"/>
  <c r="H11" i="8"/>
  <c r="L34" i="6"/>
  <c r="L36" i="6" s="1"/>
  <c r="N25" i="6"/>
  <c r="H32" i="6"/>
  <c r="S21" i="6"/>
  <c r="H23" i="6"/>
  <c r="H27" i="6" s="1"/>
  <c r="G67" i="4"/>
  <c r="R24" i="6"/>
  <c r="H15" i="8"/>
  <c r="R45" i="4"/>
  <c r="E15" i="6"/>
  <c r="H30" i="6"/>
  <c r="G11" i="8" s="1"/>
  <c r="D15" i="6"/>
  <c r="H12" i="8"/>
  <c r="D29" i="20"/>
  <c r="I53" i="20"/>
  <c r="H57" i="20" s="1"/>
  <c r="H53" i="20"/>
  <c r="E13" i="20"/>
  <c r="R13" i="20"/>
  <c r="N53" i="20"/>
  <c r="H56" i="20" s="1"/>
  <c r="K53" i="20"/>
  <c r="H55" i="20" s="1"/>
  <c r="R29" i="20"/>
  <c r="D13" i="20"/>
  <c r="M53" i="20"/>
  <c r="R55" i="20"/>
  <c r="R45" i="20"/>
  <c r="E45" i="20"/>
  <c r="L64" i="20"/>
  <c r="L66" i="20" s="1"/>
  <c r="G53" i="20"/>
  <c r="D45" i="20"/>
  <c r="F53" i="20"/>
  <c r="E29" i="20"/>
  <c r="L53" i="20"/>
  <c r="E28" i="4"/>
  <c r="K76" i="4"/>
  <c r="S21" i="4"/>
  <c r="K67" i="4"/>
  <c r="H69" i="4" s="1"/>
  <c r="E7" i="8" s="1"/>
  <c r="H7" i="8" s="1"/>
  <c r="E12" i="4"/>
  <c r="Q79" i="4"/>
  <c r="E60" i="4"/>
  <c r="H67" i="4"/>
  <c r="R60" i="4"/>
  <c r="L67" i="4"/>
  <c r="L78" i="4" s="1"/>
  <c r="N67" i="4"/>
  <c r="F67" i="4"/>
  <c r="I67" i="4"/>
  <c r="H71" i="4" s="1"/>
  <c r="E9" i="8" s="1"/>
  <c r="H9" i="8" s="1"/>
  <c r="M67" i="4"/>
  <c r="R69" i="4"/>
  <c r="P79" i="4"/>
  <c r="Q84" i="4"/>
  <c r="N84" i="4"/>
  <c r="R28" i="4"/>
  <c r="R12" i="4"/>
  <c r="N79" i="4"/>
  <c r="H31" i="6" l="1"/>
  <c r="J32" i="6"/>
  <c r="G13" i="8"/>
  <c r="H13" i="8" s="1"/>
  <c r="J27" i="6"/>
  <c r="G8" i="8"/>
  <c r="H54" i="20"/>
  <c r="H58" i="20" s="1"/>
  <c r="H61" i="20" s="1"/>
  <c r="K61" i="20" s="1"/>
  <c r="S53" i="20"/>
  <c r="H70" i="4"/>
  <c r="E8" i="8" s="1"/>
  <c r="H8" i="8" s="1"/>
  <c r="H68" i="4"/>
  <c r="E6" i="8" s="1"/>
  <c r="H6" i="8" s="1"/>
  <c r="G12" i="8" l="1"/>
  <c r="J31" i="6"/>
  <c r="K58" i="20"/>
  <c r="H72" i="4"/>
  <c r="H75" i="4" s="1"/>
  <c r="E10" i="8" l="1"/>
  <c r="H10" i="8" s="1"/>
  <c r="K72" i="4"/>
  <c r="E14" i="8"/>
  <c r="H14" i="8" s="1"/>
  <c r="K75" i="4"/>
</calcChain>
</file>

<file path=xl/sharedStrings.xml><?xml version="1.0" encoding="utf-8"?>
<sst xmlns="http://schemas.openxmlformats.org/spreadsheetml/2006/main" count="1356" uniqueCount="469">
  <si>
    <t>Resp.</t>
  </si>
  <si>
    <t>Passeport informatique</t>
  </si>
  <si>
    <t>PIT</t>
  </si>
  <si>
    <t>KID</t>
  </si>
  <si>
    <t>CGU</t>
  </si>
  <si>
    <t>WEB</t>
  </si>
  <si>
    <t>FLM</t>
  </si>
  <si>
    <t>TPS</t>
  </si>
  <si>
    <t>TSA</t>
  </si>
  <si>
    <t>HBC</t>
  </si>
  <si>
    <t>ATI</t>
  </si>
  <si>
    <t>JMG</t>
  </si>
  <si>
    <t>PAO</t>
  </si>
  <si>
    <t>ISO</t>
  </si>
  <si>
    <t>ARM</t>
  </si>
  <si>
    <t>FVA</t>
  </si>
  <si>
    <t>MGL</t>
  </si>
  <si>
    <t>PRF</t>
  </si>
  <si>
    <t>Dom.</t>
  </si>
  <si>
    <t>Info</t>
  </si>
  <si>
    <t>Eval CC</t>
  </si>
  <si>
    <t>Eval DS</t>
  </si>
  <si>
    <t>Cours</t>
  </si>
  <si>
    <t>TD</t>
  </si>
  <si>
    <t>TP</t>
  </si>
  <si>
    <t>ECTS</t>
  </si>
  <si>
    <t>SPO</t>
  </si>
  <si>
    <t>Sport</t>
  </si>
  <si>
    <t>Pr. Enc</t>
  </si>
  <si>
    <t>1 contrôle TP 1h par étudiant - DS 2h - QCM 30min</t>
  </si>
  <si>
    <t>CR TP + DS</t>
  </si>
  <si>
    <t>Heures évaluation</t>
  </si>
  <si>
    <t>TOTAL</t>
  </si>
  <si>
    <t>Heures Cours/TD/TP</t>
  </si>
  <si>
    <t>Heures projets encadrées</t>
  </si>
  <si>
    <t>PROJET FILIERE ALTERNANCE</t>
  </si>
  <si>
    <t xml:space="preserve">Crédits ECTS entreprise </t>
  </si>
  <si>
    <t>Débriefing périodes entreprise</t>
  </si>
  <si>
    <t>TOTAL Année 1</t>
  </si>
  <si>
    <t xml:space="preserve">TOTAL GENERAL </t>
  </si>
  <si>
    <t xml:space="preserve">Crédits ECTS école </t>
  </si>
  <si>
    <t>Rapport PSC + démonstration du projet</t>
  </si>
  <si>
    <t>Heures totales FàF pédagogique</t>
  </si>
  <si>
    <t>Rencontres avec le tuteur</t>
  </si>
  <si>
    <t>Travail personnel</t>
  </si>
  <si>
    <t>Total heures école</t>
  </si>
  <si>
    <t>Moyenne hres/sem</t>
  </si>
  <si>
    <t>Semaines école</t>
  </si>
  <si>
    <t>Sport 1</t>
  </si>
  <si>
    <t>Sport 2</t>
  </si>
  <si>
    <r>
      <rPr>
        <b/>
        <sz val="10"/>
        <color rgb="FF000000"/>
        <rFont val="Calibri"/>
        <family val="2"/>
      </rPr>
      <t>Architecture réseau mobile</t>
    </r>
    <r>
      <rPr>
        <sz val="10"/>
        <color rgb="FF000000"/>
        <rFont val="Calibri"/>
        <family val="2"/>
      </rPr>
      <t xml:space="preserve"> </t>
    </r>
  </si>
  <si>
    <t>QCM + exercices maison</t>
  </si>
  <si>
    <t>Rapport écrit en fin de module</t>
  </si>
  <si>
    <t>Sémin.</t>
  </si>
  <si>
    <t>TOTAL Année 2</t>
  </si>
  <si>
    <t>TOTAL Année 3</t>
  </si>
  <si>
    <t>Année 1</t>
  </si>
  <si>
    <t>Année 2</t>
  </si>
  <si>
    <t>Année 3</t>
  </si>
  <si>
    <t>Semaines utiles</t>
  </si>
  <si>
    <t>Divers</t>
  </si>
  <si>
    <t>conf métiers et rencontres partenaires</t>
  </si>
  <si>
    <t xml:space="preserve"> (déduction faite des jours fériés)</t>
  </si>
  <si>
    <t>Divers (*)</t>
  </si>
  <si>
    <t xml:space="preserve">(*) Divers  </t>
  </si>
  <si>
    <t>Accueil rentrée</t>
  </si>
  <si>
    <t>présentation année 3</t>
  </si>
  <si>
    <t>retours stages filière classique</t>
  </si>
  <si>
    <t>rencontres partenaires</t>
  </si>
  <si>
    <t>Pr. Non enc</t>
  </si>
  <si>
    <t>Heures Projet non encadrées</t>
  </si>
  <si>
    <t>Heures projet non encadrées</t>
  </si>
  <si>
    <t>Maquette Etudiant filière alternance - Total sur les 3 ans</t>
  </si>
  <si>
    <t>Organisation de l'entreprise et GRH</t>
  </si>
  <si>
    <t>Crédits ECTS</t>
  </si>
  <si>
    <t>Ecole</t>
  </si>
  <si>
    <t>Entreprise</t>
  </si>
  <si>
    <t>Total</t>
  </si>
  <si>
    <t>Théâtre 1 sem/2, en 1/2 groupes</t>
  </si>
  <si>
    <t>dont 4 heures cours ex ACP - projet réalisé en période entreprise</t>
  </si>
  <si>
    <t>Heures évaluation DS</t>
  </si>
  <si>
    <t>GRH</t>
  </si>
  <si>
    <t>Accueil</t>
  </si>
  <si>
    <t>2 heures/ sem sauf semaine de rentrée</t>
  </si>
  <si>
    <t>Modalités spécifiques pédagogiques ou d'évaluation</t>
  </si>
  <si>
    <t>soutenances individuelles 1h00</t>
  </si>
  <si>
    <t>accueil : 6 heures</t>
  </si>
  <si>
    <t xml:space="preserve"> Evaluation :  soutenances individuelles 1h00</t>
  </si>
  <si>
    <t>2 heures/ sem + test TOIC 1 hre</t>
  </si>
  <si>
    <t>FLE</t>
  </si>
  <si>
    <t>RST</t>
  </si>
  <si>
    <t>Période 1</t>
  </si>
  <si>
    <t>Période 2</t>
  </si>
  <si>
    <t>Période 3</t>
  </si>
  <si>
    <t>Période 4</t>
  </si>
  <si>
    <t>dont</t>
  </si>
  <si>
    <t xml:space="preserve"> Maquette étudiant filière alternance - Année 1</t>
  </si>
  <si>
    <t>Huma</t>
  </si>
  <si>
    <t>Syscom</t>
  </si>
  <si>
    <t>Réseau</t>
  </si>
  <si>
    <t>Ent</t>
  </si>
  <si>
    <r>
      <rPr>
        <b/>
        <sz val="10"/>
        <color rgb="FF000000"/>
        <rFont val="Calibri"/>
        <family val="2"/>
      </rPr>
      <t>Performances de réseaux</t>
    </r>
    <r>
      <rPr>
        <sz val="10"/>
        <color rgb="FF000000"/>
        <rFont val="Calibri"/>
        <family val="2"/>
      </rPr>
      <t xml:space="preserve"> </t>
    </r>
  </si>
  <si>
    <r>
      <rPr>
        <b/>
        <sz val="10"/>
        <color rgb="FF000000"/>
        <rFont val="Calibri"/>
        <family val="2"/>
      </rPr>
      <t>Modélisation et génie logiciel</t>
    </r>
  </si>
  <si>
    <t>Tot P7</t>
  </si>
  <si>
    <t>Tot P6</t>
  </si>
  <si>
    <t>Tot P4</t>
  </si>
  <si>
    <t>Tot P3</t>
  </si>
  <si>
    <t>Tot P2</t>
  </si>
  <si>
    <t>Tot P1</t>
  </si>
  <si>
    <t>SMA</t>
  </si>
  <si>
    <t>oui</t>
  </si>
  <si>
    <t>non</t>
  </si>
  <si>
    <r>
      <t>Projet appel d'offres réseaux</t>
    </r>
    <r>
      <rPr>
        <sz val="10"/>
        <rFont val="Calibri"/>
        <family val="2"/>
      </rPr>
      <t xml:space="preserve"> </t>
    </r>
  </si>
  <si>
    <t>sem</t>
  </si>
  <si>
    <t>ACC</t>
  </si>
  <si>
    <t>CTC1</t>
  </si>
  <si>
    <t>CTC2</t>
  </si>
  <si>
    <t>WEI</t>
  </si>
  <si>
    <t>Année 1/3TCA</t>
  </si>
  <si>
    <t>Année 2/4TCA</t>
  </si>
  <si>
    <t>Année 3/5TCA</t>
  </si>
  <si>
    <t>TRO</t>
  </si>
  <si>
    <t>ELP</t>
  </si>
  <si>
    <t>Département Télécommunications, Services &amp; Usages</t>
  </si>
  <si>
    <t>Rentrée 3TC / 3TCA</t>
  </si>
  <si>
    <t>Semaine de rentrée</t>
  </si>
  <si>
    <t xml:space="preserve">Lundi </t>
  </si>
  <si>
    <t>Quand</t>
  </si>
  <si>
    <t>Où</t>
  </si>
  <si>
    <t>Quoi</t>
  </si>
  <si>
    <t>Avec qui</t>
  </si>
  <si>
    <t>9h00</t>
  </si>
  <si>
    <t>10h00</t>
  </si>
  <si>
    <t>Hall</t>
  </si>
  <si>
    <t>Accueil des étudiants + Visite du département</t>
  </si>
  <si>
    <t>HBC, OGA, TRI, KID + @stus</t>
  </si>
  <si>
    <t>Remise document d'accueil</t>
  </si>
  <si>
    <t>CMI, CDE</t>
  </si>
  <si>
    <t>12h00</t>
  </si>
  <si>
    <t xml:space="preserve">Ateliers </t>
  </si>
  <si>
    <t>BFR, HBC, KID, GCU,@stus</t>
  </si>
  <si>
    <t>14h00</t>
  </si>
  <si>
    <t>15h30</t>
  </si>
  <si>
    <t>Amphi Chappe</t>
  </si>
  <si>
    <t>Présentation département</t>
  </si>
  <si>
    <t>HBC - KID</t>
  </si>
  <si>
    <t>Magnin, SC. Sociaux</t>
  </si>
  <si>
    <t>17h00</t>
  </si>
  <si>
    <t>Retour ateliers</t>
  </si>
  <si>
    <t>Vous</t>
  </si>
  <si>
    <t>20h00</t>
  </si>
  <si>
    <t>23h00</t>
  </si>
  <si>
    <t>Blind test</t>
  </si>
  <si>
    <t xml:space="preserve"> @stus</t>
  </si>
  <si>
    <t>Mardi</t>
  </si>
  <si>
    <t>09h00</t>
  </si>
  <si>
    <t>Salles informatiques</t>
  </si>
  <si>
    <t>PIT (Passeport Informatique Telecom)</t>
  </si>
  <si>
    <t>18h00</t>
  </si>
  <si>
    <t>19h00</t>
  </si>
  <si>
    <t>…</t>
  </si>
  <si>
    <t>Surprise</t>
  </si>
  <si>
    <t>Mercredi</t>
  </si>
  <si>
    <t>11h00</t>
  </si>
  <si>
    <t>Inscription à la scolarité 3TC/ présentation CFA FormaSup 3TCA</t>
  </si>
  <si>
    <t>Scolarité</t>
  </si>
  <si>
    <t>12h30</t>
  </si>
  <si>
    <t>Amphi G. Berger ou Chappe</t>
  </si>
  <si>
    <t>Présentation de l'astus</t>
  </si>
  <si>
    <t>Barbecue</t>
  </si>
  <si>
    <t>21h00</t>
  </si>
  <si>
    <t>Soirée en ville</t>
  </si>
  <si>
    <t>Jeudi</t>
  </si>
  <si>
    <t>13h30</t>
  </si>
  <si>
    <t>Lyon</t>
  </si>
  <si>
    <t>Jeu de piste</t>
  </si>
  <si>
    <t>K'Fet de l'INSA</t>
  </si>
  <si>
    <t>Boom K'Fet</t>
  </si>
  <si>
    <t>Vendredi</t>
  </si>
  <si>
    <t>09h45</t>
  </si>
  <si>
    <t>10h15</t>
  </si>
  <si>
    <t>Petit déjeuner</t>
  </si>
  <si>
    <t>Département TC</t>
  </si>
  <si>
    <t>Projection Film</t>
  </si>
  <si>
    <t>Lundi</t>
  </si>
  <si>
    <t>Soirée Laser</t>
  </si>
  <si>
    <t xml:space="preserve"> @astus</t>
  </si>
  <si>
    <t xml:space="preserve">Vendredi </t>
  </si>
  <si>
    <t>Journée libérée pour les 3TC</t>
  </si>
  <si>
    <t>Week-End d'Intégration</t>
  </si>
  <si>
    <t>2014/2015</t>
  </si>
  <si>
    <t>???</t>
  </si>
  <si>
    <t>Début des cours 3TC/3TCA/4TC/4TCA</t>
  </si>
  <si>
    <t>Séminaires entreprise</t>
  </si>
  <si>
    <t>Culture Telecom et Communication</t>
  </si>
  <si>
    <t>Web dynamique</t>
  </si>
  <si>
    <t>Traitement du signal et architecture</t>
  </si>
  <si>
    <t>TP Système de communication</t>
  </si>
  <si>
    <t>TRI</t>
  </si>
  <si>
    <t>UE</t>
  </si>
  <si>
    <t>TCA-3-S1-SCM1</t>
  </si>
  <si>
    <t>TCA-3-S2-RES</t>
  </si>
  <si>
    <t>TCA-3-S2-SCM2</t>
  </si>
  <si>
    <t>Architecture réseaux, services</t>
  </si>
  <si>
    <t>NAS</t>
  </si>
  <si>
    <t>Protocoles Réseaux</t>
  </si>
  <si>
    <t>NRP</t>
  </si>
  <si>
    <t>Rattrapable</t>
  </si>
  <si>
    <t>PBS</t>
  </si>
  <si>
    <t>SFR</t>
  </si>
  <si>
    <t>VBA</t>
  </si>
  <si>
    <t>dont Eval DS</t>
  </si>
  <si>
    <t>dont Eval CC</t>
  </si>
  <si>
    <t>WBE</t>
  </si>
  <si>
    <t>SIS</t>
  </si>
  <si>
    <t>TCA-3-S2-HUMA</t>
  </si>
  <si>
    <t>TCA-3-S1-ENT1.2</t>
  </si>
  <si>
    <t>TCA-3-S2-ENT3.4</t>
  </si>
  <si>
    <t>Systèmes de Communication 1</t>
  </si>
  <si>
    <t>Systèmes de Communication 2</t>
  </si>
  <si>
    <t>Fondamentaux des Réseaux</t>
  </si>
  <si>
    <t>Humanités Semestre 2</t>
  </si>
  <si>
    <t>Périodes Entreprise ENT1 &amp; ENT2</t>
  </si>
  <si>
    <t>Périodes Entreprise ENT3 &amp; ENT4</t>
  </si>
  <si>
    <t>Total heures Ecole</t>
  </si>
  <si>
    <t xml:space="preserve">Crédits ECTS Ecole </t>
  </si>
  <si>
    <t>EC</t>
  </si>
  <si>
    <t>Désignation de l'EC</t>
  </si>
  <si>
    <t>Désignation de l'UE</t>
  </si>
  <si>
    <t>DEB1</t>
  </si>
  <si>
    <t>DEB2</t>
  </si>
  <si>
    <t>DEB3</t>
  </si>
  <si>
    <t>ENT1</t>
  </si>
  <si>
    <t>ENT2</t>
  </si>
  <si>
    <t>ENT3</t>
  </si>
  <si>
    <t>ENT4: projet WEB</t>
  </si>
  <si>
    <t>ENT4</t>
  </si>
  <si>
    <t>ENT1: découverte de l'entreprise</t>
  </si>
  <si>
    <t>Soutien maths</t>
  </si>
  <si>
    <t>1er semestre</t>
  </si>
  <si>
    <t>Désignation</t>
  </si>
  <si>
    <t>2ème semestre</t>
  </si>
  <si>
    <t xml:space="preserve">ECTS Ecole = </t>
  </si>
  <si>
    <t xml:space="preserve">ECTS Entreprise = </t>
  </si>
  <si>
    <t>DPT1 : PERIODE Ecole 1</t>
  </si>
  <si>
    <t>DPT2 : PERIODE Ecole 2</t>
  </si>
  <si>
    <t>DPT3 : PERIODE Ecole 3</t>
  </si>
  <si>
    <t>DPT4 : PERIODE Ecole 4</t>
  </si>
  <si>
    <t>ENT1: PERIODE Entreprise 1</t>
  </si>
  <si>
    <t>ENT2: PERIODE Entreprise 2</t>
  </si>
  <si>
    <t>ENT3: PERIODE Entreprise 3</t>
  </si>
  <si>
    <t>ENT4: PERIODE Entreprise 4</t>
  </si>
  <si>
    <t>1 semaine</t>
  </si>
  <si>
    <t>ENT2: projet défini par l'entreprise</t>
  </si>
  <si>
    <t>ENT3: projet défini par l'entreprise</t>
  </si>
  <si>
    <t>Rattrapages / Soutenances</t>
  </si>
  <si>
    <t>Anglais Semestre 1</t>
  </si>
  <si>
    <t>Anglais Semestre 2</t>
  </si>
  <si>
    <t>ANG-3-S1</t>
  </si>
  <si>
    <t>ANG-3-S2</t>
  </si>
  <si>
    <t>Debriefing période entreprise N°1</t>
  </si>
  <si>
    <t>Debriefing période entreprise N°2</t>
  </si>
  <si>
    <t>Debriefing période entreprise N°3</t>
  </si>
  <si>
    <t>Evaluation :  soutenances indiv. 1h00</t>
  </si>
  <si>
    <t>3-H-SP2</t>
  </si>
  <si>
    <t>3-H-SP1</t>
  </si>
  <si>
    <t>DPT</t>
  </si>
  <si>
    <t>ENT</t>
  </si>
  <si>
    <t>TOT</t>
  </si>
  <si>
    <t>Semaines</t>
  </si>
  <si>
    <t>DPT5: PERIODE Ecole 5</t>
  </si>
  <si>
    <t>Désignation EC</t>
  </si>
  <si>
    <t>Debriefing période entreprise N°4</t>
  </si>
  <si>
    <t>DEB4</t>
  </si>
  <si>
    <t>TCA-4-S1-ENT5</t>
  </si>
  <si>
    <t>ANG-4-S1</t>
  </si>
  <si>
    <t>TCA-4-S1-HUMA</t>
  </si>
  <si>
    <t>ENT5: PERIODE Entreprise 5</t>
  </si>
  <si>
    <t>ENT5: projet défini par l'entreprise</t>
  </si>
  <si>
    <t>ENT5</t>
  </si>
  <si>
    <t>DPT6: PERIODE Ecole 6</t>
  </si>
  <si>
    <t>Debriefing période entreprise N°5</t>
  </si>
  <si>
    <t>DEB5</t>
  </si>
  <si>
    <t>ENT6: PERIODE Entreprise 6</t>
  </si>
  <si>
    <t>ENT6: projet appel d'offres</t>
  </si>
  <si>
    <t>ENT6</t>
  </si>
  <si>
    <t>TCA-4-S2-ENT6.7</t>
  </si>
  <si>
    <t>DPT7: PERIODE Ecole 7</t>
  </si>
  <si>
    <t>Debriefing période entreprise N°6</t>
  </si>
  <si>
    <t>DEB6</t>
  </si>
  <si>
    <t>Bonus de 0 à 2 sur rendu de EC</t>
  </si>
  <si>
    <t>TCA-4-S2-HUMA</t>
  </si>
  <si>
    <t>ANG-4-S2</t>
  </si>
  <si>
    <t>4-H-SP</t>
  </si>
  <si>
    <t>ENT7: PERIODE Entreprise 7</t>
  </si>
  <si>
    <r>
      <t>ENT7</t>
    </r>
    <r>
      <rPr>
        <sz val="10"/>
        <color rgb="FF000000"/>
        <rFont val="Calibri"/>
        <family val="2"/>
      </rPr>
      <t>: projet défini par l'entreprise</t>
    </r>
  </si>
  <si>
    <t>ENT7</t>
  </si>
  <si>
    <t>Debriefing périodes entreprise</t>
  </si>
  <si>
    <t>Période Entreprise ENT5</t>
  </si>
  <si>
    <t>Humanités Semestre 1</t>
  </si>
  <si>
    <t>Périodes Entreprise ENT6 &amp; ENT7</t>
  </si>
  <si>
    <t>PSC</t>
  </si>
  <si>
    <t>CNA</t>
  </si>
  <si>
    <t>SPE</t>
  </si>
  <si>
    <t>CMU</t>
  </si>
  <si>
    <t>Systemes distribues</t>
  </si>
  <si>
    <t>SYD</t>
  </si>
  <si>
    <t>RAN</t>
  </si>
  <si>
    <t>BLF</t>
  </si>
  <si>
    <t xml:space="preserve">Attention: changer la colone de l'ECTS =&gt;12 pour la Macro </t>
  </si>
  <si>
    <t>"Groupement des UE pour la feuille en cours"</t>
  </si>
  <si>
    <t>ENT 8: PERIODE Entreprise 8</t>
  </si>
  <si>
    <t>ENT8</t>
  </si>
  <si>
    <t>DPT8: PERIODE école 8</t>
  </si>
  <si>
    <t>FàF Ped.</t>
  </si>
  <si>
    <t>Forum Rhône Alpes</t>
  </si>
  <si>
    <t>ENT8 : projet en autonomie</t>
  </si>
  <si>
    <t>TCA-5-S2-ENT8</t>
  </si>
  <si>
    <t>CGO</t>
  </si>
  <si>
    <t>Communications analogiques, modulations</t>
  </si>
  <si>
    <t>pas de management de projet car fait en entrerprise</t>
  </si>
  <si>
    <t>Total ECTS</t>
  </si>
  <si>
    <t>TCA-5-S1-DPT8</t>
  </si>
  <si>
    <t>Projet système de communication</t>
  </si>
  <si>
    <t>Boucle Locale Filaire</t>
  </si>
  <si>
    <t>Reseau d'acces radio: Couche Physique</t>
  </si>
  <si>
    <t>Communications num, Couche physique</t>
  </si>
  <si>
    <t>TIP</t>
  </si>
  <si>
    <t>TIP: Partie Image et Parole</t>
  </si>
  <si>
    <t>CMN</t>
  </si>
  <si>
    <t>Codage et modulations numériques</t>
  </si>
  <si>
    <t>2x 1/2 journee de 3h</t>
  </si>
  <si>
    <t xml:space="preserve"> Maquette étudiant filière alternance - Année 3</t>
  </si>
  <si>
    <t>dont Heures évaluation Cont Continu et DS</t>
  </si>
  <si>
    <t>Heures totales Programme</t>
  </si>
  <si>
    <t>dont Heures évaluation DS</t>
  </si>
  <si>
    <t>Heures totales programme</t>
  </si>
  <si>
    <t>Débriefing période entreprise N°7</t>
  </si>
  <si>
    <t xml:space="preserve"> Maquette étudiant filière alternance - Année 2</t>
  </si>
  <si>
    <t>Modélisation et génie logiciel</t>
  </si>
  <si>
    <t xml:space="preserve">Projet appel d'offres réseaux </t>
  </si>
  <si>
    <t>ENT7: projet défini par l'entreprise</t>
  </si>
  <si>
    <t xml:space="preserve">Architecture réseau mobile </t>
  </si>
  <si>
    <t xml:space="preserve">Performances de réseaux </t>
  </si>
  <si>
    <t>Architecture, Réseaux, Services et Protocoles 2</t>
  </si>
  <si>
    <t>TCA-5-IOT</t>
  </si>
  <si>
    <t>IOT</t>
  </si>
  <si>
    <t>10.0</t>
  </si>
  <si>
    <t>TCA-5-RES</t>
  </si>
  <si>
    <t>Nouvelles générations de réseaux</t>
  </si>
  <si>
    <t>TCA-5-ROB</t>
  </si>
  <si>
    <t>Robotique - Embarqué</t>
  </si>
  <si>
    <t>TCA-5-S1-SHES</t>
  </si>
  <si>
    <t>Entreprise et Sport</t>
  </si>
  <si>
    <t>TCA-5-SAS</t>
  </si>
  <si>
    <t>Systèmes et Applications sécurisées</t>
  </si>
  <si>
    <t>Visualiser l'unité d'enseignement : "TCA-5-IOT" Modifier l'unité d'enseignement : "TCA-5-IOT" Supprimer l'unité d'enseignement : "TCA-5-IOT"</t>
  </si>
  <si>
    <t>Visualiser l'unité d'enseignement : "TCA-5-RES" Modifier l'unité d'enseignement : "TCA-5-RES" Supprimer l'unité d'enseignement : "TCA-5-RES"</t>
  </si>
  <si>
    <t>Visualiser l'unité d'enseignement : "TCA-5-ROB" Modifier l'unité d'enseignement : "TCA-5-ROB" Supprimer l'unité d'enseignement : "TCA-5-ROB"</t>
  </si>
  <si>
    <t>TCA-5-S1-OPT</t>
  </si>
  <si>
    <t>Options au choix de 5TC</t>
  </si>
  <si>
    <t>WBP</t>
  </si>
  <si>
    <t>ACM</t>
  </si>
  <si>
    <t xml:space="preserve"> Sport</t>
  </si>
  <si>
    <t>Sciences humaine et économiques</t>
  </si>
  <si>
    <t>TCA-5-S2-DPT8</t>
  </si>
  <si>
    <t>Nombre d'heures min en 5eme année : 420h?</t>
  </si>
  <si>
    <t>rencontre partenaires</t>
  </si>
  <si>
    <t>Théâtre 1 sem/2, en 1/2 groupes en TP</t>
  </si>
  <si>
    <t>Projet</t>
  </si>
  <si>
    <t>8h journee internationale</t>
  </si>
  <si>
    <t>32 projet + 6h CGU management ACP +2hCours CGU + initiation management  projet à reprendre à reprendre?</t>
  </si>
  <si>
    <t>CSC</t>
  </si>
  <si>
    <t>Traitement images / MAS + Parole</t>
  </si>
  <si>
    <t>8 heures reservées à l'edt pour le travail personnel</t>
  </si>
  <si>
    <t>Semaine Management</t>
  </si>
  <si>
    <t>Mois de mai, pas d'éval, 3,5 j et 4h de debrif général (3h payées 4h pour les intervenants)</t>
  </si>
  <si>
    <t>TC-5-H-MGT</t>
  </si>
  <si>
    <t>TCA-5-H-DEB7</t>
  </si>
  <si>
    <t>Projet innovant :Jeudi matin projet encadré (12s)
240-48h non encadrés</t>
  </si>
  <si>
    <t>TC-5-XXX</t>
  </si>
  <si>
    <t>6 opt au choix (dont une option transversale et opt. Projet)</t>
  </si>
  <si>
    <t>Période DPT8 S1</t>
  </si>
  <si>
    <t>Période DPT8 S2</t>
  </si>
  <si>
    <t>Période Entreprise ENT8</t>
  </si>
  <si>
    <t>TCA-5-S1-P5I</t>
  </si>
  <si>
    <t>Détail des parcours 5TC au choix</t>
  </si>
  <si>
    <t>Projet P5I pour TCA</t>
  </si>
  <si>
    <t>Cryptographie et Sécurité des communications</t>
  </si>
  <si>
    <t>TCA-5-H-SP</t>
  </si>
  <si>
    <t>TC-5-H-SHE</t>
  </si>
  <si>
    <t>TC-5-S1-P-P5I</t>
  </si>
  <si>
    <t>Projet P5 Innovant</t>
  </si>
  <si>
    <t>Projet P5 Innovant -Rapport</t>
  </si>
  <si>
    <t>Projet P5 Innovant - Soutenance</t>
  </si>
  <si>
    <t>TC-5-S1-P-P5I-RAP</t>
  </si>
  <si>
    <t>TC-5-S1-P-P5I-SOU</t>
  </si>
  <si>
    <t>Signaux et Systèmes</t>
  </si>
  <si>
    <t>Probabilités et Statistiques</t>
  </si>
  <si>
    <t>Ecosystème des Langages de Programmation</t>
  </si>
  <si>
    <t>OGA</t>
  </si>
  <si>
    <t>VMU</t>
  </si>
  <si>
    <t xml:space="preserve">P-PRJ </t>
  </si>
  <si>
    <t>Gestion de Projet</t>
  </si>
  <si>
    <t>ALG</t>
  </si>
  <si>
    <t>OSI</t>
  </si>
  <si>
    <t>ARC</t>
  </si>
  <si>
    <t xml:space="preserve">Architecture </t>
  </si>
  <si>
    <t>PPC</t>
  </si>
  <si>
    <t>Programmation Parrallèle et Concurrente</t>
  </si>
  <si>
    <t>RKE</t>
  </si>
  <si>
    <t>CRO</t>
  </si>
  <si>
    <t>Algorithmique</t>
  </si>
  <si>
    <t>Projet Web dynamique</t>
  </si>
  <si>
    <t>Base de la Programation C</t>
  </si>
  <si>
    <t>GES1</t>
  </si>
  <si>
    <t>GES2</t>
  </si>
  <si>
    <t xml:space="preserve">GesPER 2: Gestion de Projet Entrepreneurial Responsable </t>
  </si>
  <si>
    <t xml:space="preserve">GesPER 1: Gestion de Projet Entrepreneurial Responsable </t>
  </si>
  <si>
    <t>Journée de ski  8/02/19?</t>
  </si>
  <si>
    <t>Nb Sem</t>
  </si>
  <si>
    <t>Nb ECTS</t>
  </si>
  <si>
    <t>A1</t>
  </si>
  <si>
    <t>A2</t>
  </si>
  <si>
    <t>A3</t>
  </si>
  <si>
    <t>TOTAL HRE SPORT</t>
  </si>
  <si>
    <t>TOTAL HRE SHS sans LV1</t>
  </si>
  <si>
    <t>TOTAL ECTS SHS sans LV1</t>
  </si>
  <si>
    <t>Technique</t>
  </si>
  <si>
    <t>TOTAL HRE Techn</t>
  </si>
  <si>
    <t>TCA-3-S1-HUMA</t>
  </si>
  <si>
    <t>Tot P5</t>
  </si>
  <si>
    <t>ASY</t>
  </si>
  <si>
    <t>Architecture des Systèmes</t>
  </si>
  <si>
    <t>IP</t>
  </si>
  <si>
    <t>MAC</t>
  </si>
  <si>
    <t>Mécanismes d'Accès au Canal</t>
  </si>
  <si>
    <t>Protocole Internet</t>
  </si>
  <si>
    <t>1h d'éval</t>
  </si>
  <si>
    <t>TCA-3-S1-INFO1</t>
  </si>
  <si>
    <t>TCA-3-S2-INFO2</t>
  </si>
  <si>
    <t>Informatique 2</t>
  </si>
  <si>
    <t>Informatique 1</t>
  </si>
  <si>
    <t>Imagerie, Radiocoms, Projet</t>
  </si>
  <si>
    <t>TCA-4-S1-IRP</t>
  </si>
  <si>
    <t>Architecture, Réseaux, Services et Protocoles 1</t>
  </si>
  <si>
    <t>Développement et Sécurité</t>
  </si>
  <si>
    <t>TCA-4-S1-DEV</t>
  </si>
  <si>
    <t>Réseaux d'accès et systèmes distribués</t>
  </si>
  <si>
    <t>TCA-4-S2-RASD</t>
  </si>
  <si>
    <t>TCA-4-S1-ARSP1</t>
  </si>
  <si>
    <t>TCA-4-S2-ARSP2</t>
  </si>
  <si>
    <t>Tot P8</t>
  </si>
  <si>
    <t>Tech.</t>
  </si>
  <si>
    <t>HUMA</t>
  </si>
  <si>
    <t>UE_TECH</t>
  </si>
  <si>
    <t>HEURES</t>
  </si>
  <si>
    <t>HUMA_ANGLAIS</t>
  </si>
  <si>
    <t>HUMA SPORT</t>
  </si>
  <si>
    <t>HUMA AUTRES</t>
  </si>
  <si>
    <t>TCA-5-S2-HUMA</t>
  </si>
  <si>
    <t>TCA-5-S1-HUMA</t>
  </si>
  <si>
    <t>Année 1 + 2 +3</t>
  </si>
  <si>
    <t>HUMA ANGLAIS</t>
  </si>
  <si>
    <t>TOTAL ENT+TECH + HUMA</t>
  </si>
  <si>
    <t xml:space="preserve">TCA-4-H-SP </t>
  </si>
  <si>
    <t>TCA-4-H-SP</t>
  </si>
  <si>
    <t>TCA-3-H-SP2</t>
  </si>
  <si>
    <t>TCA-3-H-SP1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</si>
</sst>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1"/>
      <name val="Calibri"/>
      <family val="2"/>
    </font>
    <font>
      <b/>
      <sz val="14"/>
      <color rgb="FF000000"/>
      <name val="Calibri"/>
      <family val="2"/>
    </font>
    <font>
      <b/>
      <sz val="11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Bookman Old Style"/>
      <family val="1"/>
    </font>
    <font>
      <b/>
      <sz val="9"/>
      <color theme="1"/>
      <name val="Calibri"/>
      <family val="2"/>
      <scheme val="minor"/>
    </font>
    <font>
      <sz val="10"/>
      <name val="Geneva"/>
    </font>
    <font>
      <b/>
      <i/>
      <sz val="14"/>
      <name val="Arial"/>
      <family val="2"/>
    </font>
    <font>
      <b/>
      <sz val="20"/>
      <name val="Bookman Old Style"/>
      <family val="1"/>
    </font>
    <font>
      <sz val="20"/>
      <name val="Arial"/>
      <family val="2"/>
    </font>
    <font>
      <b/>
      <sz val="14"/>
      <name val="Bookman Old Style"/>
      <family val="1"/>
    </font>
    <font>
      <sz val="14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Calibri"/>
      <family val="2"/>
    </font>
    <font>
      <b/>
      <sz val="8"/>
      <color rgb="FF000000"/>
      <name val="Calibri"/>
      <family val="2"/>
    </font>
    <font>
      <i/>
      <sz val="8"/>
      <color rgb="FF000000"/>
      <name val="Calibri"/>
      <family val="2"/>
    </font>
    <font>
      <i/>
      <sz val="9"/>
      <color rgb="FF00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CCFFFF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FAC090"/>
      </patternFill>
    </fill>
    <fill>
      <patternFill patternType="solid">
        <fgColor rgb="FFFFFFFF"/>
        <bgColor rgb="FFCCFFFF"/>
      </patternFill>
    </fill>
    <fill>
      <patternFill patternType="solid">
        <fgColor rgb="FFDDD9C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FAC090"/>
      </patternFill>
    </fill>
    <fill>
      <patternFill patternType="solid">
        <fgColor rgb="FFFFFFFF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30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4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" xfId="0" applyFont="1" applyBorder="1"/>
    <xf numFmtId="0" fontId="0" fillId="0" borderId="1" xfId="0" applyBorder="1" applyAlignment="1">
      <alignment horizontal="center"/>
    </xf>
    <xf numFmtId="0" fontId="5" fillId="0" borderId="0" xfId="0" applyFont="1"/>
    <xf numFmtId="0" fontId="0" fillId="0" borderId="1" xfId="0" applyBorder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/>
    <xf numFmtId="0" fontId="10" fillId="2" borderId="0" xfId="0" applyFont="1" applyFill="1" applyBorder="1"/>
    <xf numFmtId="0" fontId="4" fillId="2" borderId="0" xfId="0" applyFont="1" applyFill="1"/>
    <xf numFmtId="0" fontId="0" fillId="0" borderId="1" xfId="0" applyFont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4" fillId="2" borderId="0" xfId="0" applyFont="1" applyFill="1" applyAlignment="1">
      <alignment horizontal="center"/>
    </xf>
    <xf numFmtId="0" fontId="0" fillId="3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10" fillId="0" borderId="1" xfId="0" applyFont="1" applyBorder="1"/>
    <xf numFmtId="0" fontId="10" fillId="0" borderId="1" xfId="0" applyFont="1" applyBorder="1" applyAlignment="1">
      <alignment wrapText="1"/>
    </xf>
    <xf numFmtId="0" fontId="6" fillId="0" borderId="0" xfId="0" applyFont="1"/>
    <xf numFmtId="0" fontId="11" fillId="0" borderId="1" xfId="0" applyFont="1" applyBorder="1" applyAlignment="1">
      <alignment wrapText="1"/>
    </xf>
    <xf numFmtId="2" fontId="0" fillId="0" borderId="0" xfId="0" applyNumberFormat="1"/>
    <xf numFmtId="0" fontId="4" fillId="0" borderId="0" xfId="0" applyFont="1"/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4" fillId="2" borderId="0" xfId="0" applyFont="1" applyFill="1" applyBorder="1"/>
    <xf numFmtId="0" fontId="4" fillId="2" borderId="6" xfId="0" applyFont="1" applyFill="1" applyBorder="1"/>
    <xf numFmtId="2" fontId="4" fillId="2" borderId="5" xfId="0" applyNumberFormat="1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2" fontId="4" fillId="2" borderId="7" xfId="0" applyNumberFormat="1" applyFont="1" applyFill="1" applyBorder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4" fillId="0" borderId="11" xfId="0" applyFont="1" applyBorder="1"/>
    <xf numFmtId="0" fontId="4" fillId="0" borderId="1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0" borderId="0" xfId="0" applyFont="1"/>
    <xf numFmtId="0" fontId="0" fillId="0" borderId="0" xfId="0" applyFill="1" applyBorder="1"/>
    <xf numFmtId="0" fontId="0" fillId="0" borderId="0" xfId="0" applyFill="1"/>
    <xf numFmtId="0" fontId="14" fillId="0" borderId="0" xfId="0" applyFont="1" applyFill="1"/>
    <xf numFmtId="0" fontId="4" fillId="0" borderId="0" xfId="0" applyFont="1" applyFill="1"/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center" wrapText="1"/>
    </xf>
    <xf numFmtId="2" fontId="0" fillId="0" borderId="0" xfId="0" applyNumberFormat="1" applyFill="1"/>
    <xf numFmtId="0" fontId="0" fillId="0" borderId="0" xfId="0" applyFont="1" applyFill="1"/>
    <xf numFmtId="0" fontId="6" fillId="0" borderId="1" xfId="0" applyFont="1" applyBorder="1" applyAlignment="1">
      <alignment horizontal="left" vertical="center"/>
    </xf>
    <xf numFmtId="0" fontId="0" fillId="0" borderId="0" xfId="0" applyBorder="1" applyAlignment="1">
      <alignment wrapText="1"/>
    </xf>
    <xf numFmtId="0" fontId="4" fillId="0" borderId="3" xfId="0" applyFont="1" applyBorder="1"/>
    <xf numFmtId="0" fontId="0" fillId="0" borderId="0" xfId="0" applyFont="1"/>
    <xf numFmtId="0" fontId="4" fillId="0" borderId="12" xfId="0" applyFont="1" applyFill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0" fillId="0" borderId="4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0" xfId="0" applyAlignment="1"/>
    <xf numFmtId="0" fontId="4" fillId="0" borderId="3" xfId="0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0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0" borderId="3" xfId="0" applyFont="1" applyFill="1" applyBorder="1" applyAlignment="1">
      <alignment horizontal="left" vertical="center"/>
    </xf>
    <xf numFmtId="0" fontId="0" fillId="0" borderId="12" xfId="0" applyFont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7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2" fillId="9" borderId="0" xfId="0" applyFont="1" applyFill="1"/>
    <xf numFmtId="0" fontId="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left" vertical="center"/>
    </xf>
    <xf numFmtId="0" fontId="22" fillId="9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10" fillId="2" borderId="0" xfId="0" applyFont="1" applyFill="1" applyBorder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/>
    <xf numFmtId="0" fontId="27" fillId="0" borderId="0" xfId="0" applyFont="1"/>
    <xf numFmtId="0" fontId="28" fillId="0" borderId="0" xfId="0" applyFont="1" applyBorder="1"/>
    <xf numFmtId="14" fontId="28" fillId="0" borderId="0" xfId="0" applyNumberFormat="1" applyFont="1" applyBorder="1"/>
    <xf numFmtId="0" fontId="29" fillId="0" borderId="0" xfId="0" applyFont="1"/>
    <xf numFmtId="0" fontId="30" fillId="0" borderId="1" xfId="0" applyFont="1" applyBorder="1"/>
    <xf numFmtId="0" fontId="30" fillId="0" borderId="12" xfId="0" applyFont="1" applyBorder="1"/>
    <xf numFmtId="0" fontId="30" fillId="0" borderId="0" xfId="0" applyFont="1"/>
    <xf numFmtId="0" fontId="0" fillId="0" borderId="12" xfId="0" applyBorder="1"/>
    <xf numFmtId="0" fontId="31" fillId="0" borderId="1" xfId="0" applyFont="1" applyBorder="1"/>
    <xf numFmtId="0" fontId="31" fillId="0" borderId="12" xfId="0" applyFont="1" applyBorder="1" applyAlignment="1">
      <alignment wrapText="1"/>
    </xf>
    <xf numFmtId="0" fontId="31" fillId="0" borderId="12" xfId="0" applyFont="1" applyBorder="1"/>
    <xf numFmtId="0" fontId="0" fillId="0" borderId="10" xfId="0" applyBorder="1"/>
    <xf numFmtId="0" fontId="0" fillId="0" borderId="11" xfId="0" applyBorder="1"/>
    <xf numFmtId="0" fontId="0" fillId="0" borderId="7" xfId="0" applyFill="1" applyBorder="1"/>
    <xf numFmtId="0" fontId="0" fillId="0" borderId="9" xfId="0" applyBorder="1"/>
    <xf numFmtId="0" fontId="0" fillId="0" borderId="8" xfId="0" applyBorder="1"/>
    <xf numFmtId="0" fontId="28" fillId="0" borderId="14" xfId="0" applyFont="1" applyBorder="1"/>
    <xf numFmtId="14" fontId="28" fillId="0" borderId="14" xfId="0" applyNumberFormat="1" applyFont="1" applyBorder="1"/>
    <xf numFmtId="0" fontId="28" fillId="0" borderId="0" xfId="0" applyFont="1"/>
    <xf numFmtId="0" fontId="0" fillId="0" borderId="1" xfId="0" applyFill="1" applyBorder="1"/>
    <xf numFmtId="0" fontId="32" fillId="0" borderId="1" xfId="0" applyFont="1" applyBorder="1"/>
    <xf numFmtId="0" fontId="31" fillId="0" borderId="1" xfId="0" applyFont="1" applyFill="1" applyBorder="1"/>
    <xf numFmtId="0" fontId="0" fillId="0" borderId="15" xfId="0" applyBorder="1"/>
    <xf numFmtId="0" fontId="31" fillId="0" borderId="10" xfId="0" applyFont="1" applyBorder="1"/>
    <xf numFmtId="0" fontId="31" fillId="0" borderId="11" xfId="0" applyFont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2" fillId="14" borderId="0" xfId="0" applyFont="1" applyFill="1"/>
    <xf numFmtId="0" fontId="22" fillId="15" borderId="0" xfId="0" applyFont="1" applyFill="1" applyAlignment="1">
      <alignment horizontal="left"/>
    </xf>
    <xf numFmtId="0" fontId="22" fillId="15" borderId="0" xfId="0" applyFont="1" applyFill="1"/>
    <xf numFmtId="0" fontId="22" fillId="15" borderId="0" xfId="0" applyFont="1" applyFill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0" fillId="0" borderId="16" xfId="0" applyFont="1" applyBorder="1" applyAlignment="1">
      <alignment horizontal="left" vertical="center"/>
    </xf>
    <xf numFmtId="0" fontId="11" fillId="15" borderId="16" xfId="0" applyFont="1" applyFill="1" applyBorder="1"/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1" fillId="0" borderId="16" xfId="0" applyFont="1" applyBorder="1" applyAlignment="1">
      <alignment wrapText="1"/>
    </xf>
    <xf numFmtId="0" fontId="13" fillId="0" borderId="9" xfId="0" applyFont="1" applyBorder="1" applyAlignment="1">
      <alignment horizontal="left"/>
    </xf>
    <xf numFmtId="0" fontId="13" fillId="0" borderId="9" xfId="0" applyFont="1" applyBorder="1" applyAlignment="1">
      <alignment horizontal="center"/>
    </xf>
    <xf numFmtId="0" fontId="11" fillId="0" borderId="16" xfId="0" applyFont="1" applyBorder="1" applyAlignment="1">
      <alignment horizontal="left" wrapText="1"/>
    </xf>
    <xf numFmtId="49" fontId="13" fillId="0" borderId="9" xfId="0" applyNumberFormat="1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0" fillId="0" borderId="16" xfId="0" applyFont="1" applyBorder="1" applyAlignment="1">
      <alignment wrapText="1"/>
    </xf>
    <xf numFmtId="0" fontId="0" fillId="0" borderId="6" xfId="0" applyBorder="1" applyAlignment="1">
      <alignment horizontal="center" vertical="center" wrapText="1"/>
    </xf>
    <xf numFmtId="0" fontId="4" fillId="0" borderId="9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2" xfId="0" applyBorder="1" applyAlignment="1">
      <alignment horizontal="left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left"/>
    </xf>
    <xf numFmtId="0" fontId="13" fillId="0" borderId="9" xfId="0" applyFont="1" applyBorder="1" applyAlignment="1">
      <alignment wrapText="1"/>
    </xf>
    <xf numFmtId="0" fontId="0" fillId="0" borderId="6" xfId="0" applyBorder="1" applyAlignment="1">
      <alignment horizontal="center" wrapText="1"/>
    </xf>
    <xf numFmtId="0" fontId="4" fillId="0" borderId="9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6" xfId="0" applyFont="1" applyBorder="1" applyAlignment="1">
      <alignment horizontal="left"/>
    </xf>
    <xf numFmtId="0" fontId="10" fillId="0" borderId="0" xfId="0" applyFont="1" applyAlignment="1">
      <alignment wrapText="1"/>
    </xf>
    <xf numFmtId="0" fontId="4" fillId="15" borderId="0" xfId="0" applyFont="1" applyFill="1" applyAlignment="1">
      <alignment horizontal="left" wrapText="1"/>
    </xf>
    <xf numFmtId="0" fontId="0" fillId="11" borderId="0" xfId="0" applyFill="1"/>
    <xf numFmtId="0" fontId="10" fillId="11" borderId="0" xfId="0" applyFont="1" applyFill="1"/>
    <xf numFmtId="0" fontId="4" fillId="11" borderId="0" xfId="0" applyFont="1" applyFill="1" applyAlignment="1">
      <alignment horizontal="left"/>
    </xf>
    <xf numFmtId="0" fontId="4" fillId="11" borderId="0" xfId="0" applyFont="1" applyFill="1"/>
    <xf numFmtId="0" fontId="5" fillId="11" borderId="0" xfId="0" applyFont="1" applyFill="1"/>
    <xf numFmtId="0" fontId="0" fillId="5" borderId="1" xfId="0" applyFill="1" applyBorder="1" applyAlignment="1">
      <alignment horizontal="left" wrapText="1"/>
    </xf>
    <xf numFmtId="0" fontId="4" fillId="5" borderId="12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0" fillId="12" borderId="9" xfId="0" applyFill="1" applyBorder="1" applyAlignment="1">
      <alignment horizontal="left" wrapText="1"/>
    </xf>
    <xf numFmtId="0" fontId="4" fillId="12" borderId="0" xfId="0" applyFont="1" applyFill="1" applyAlignment="1">
      <alignment horizontal="left" wrapText="1"/>
    </xf>
    <xf numFmtId="0" fontId="6" fillId="5" borderId="9" xfId="0" applyFont="1" applyFill="1" applyBorder="1" applyAlignment="1">
      <alignment horizontal="left" vertical="center"/>
    </xf>
    <xf numFmtId="0" fontId="18" fillId="5" borderId="0" xfId="0" applyFont="1" applyFill="1" applyAlignment="1">
      <alignment horizontal="left" wrapText="1"/>
    </xf>
    <xf numFmtId="0" fontId="2" fillId="0" borderId="0" xfId="0" applyFont="1" applyAlignment="1"/>
    <xf numFmtId="0" fontId="22" fillId="15" borderId="0" xfId="0" applyFont="1" applyFill="1" applyAlignment="1"/>
    <xf numFmtId="0" fontId="6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13" fillId="0" borderId="9" xfId="0" applyFont="1" applyBorder="1" applyAlignment="1"/>
    <xf numFmtId="0" fontId="0" fillId="0" borderId="9" xfId="0" applyBorder="1" applyAlignment="1"/>
    <xf numFmtId="0" fontId="4" fillId="0" borderId="9" xfId="0" applyFont="1" applyBorder="1" applyAlignment="1">
      <alignment vertical="center"/>
    </xf>
    <xf numFmtId="0" fontId="0" fillId="0" borderId="12" xfId="0" applyBorder="1" applyAlignment="1"/>
    <xf numFmtId="0" fontId="4" fillId="0" borderId="0" xfId="0" applyFont="1" applyAlignment="1"/>
    <xf numFmtId="0" fontId="4" fillId="0" borderId="9" xfId="0" applyFont="1" applyBorder="1" applyAlignment="1"/>
    <xf numFmtId="0" fontId="4" fillId="0" borderId="8" xfId="0" applyFont="1" applyBorder="1" applyAlignment="1"/>
    <xf numFmtId="0" fontId="0" fillId="0" borderId="8" xfId="0" applyBorder="1" applyAlignment="1"/>
    <xf numFmtId="0" fontId="4" fillId="11" borderId="0" xfId="0" applyFont="1" applyFill="1" applyAlignment="1"/>
    <xf numFmtId="0" fontId="0" fillId="2" borderId="0" xfId="0" applyFont="1" applyFill="1" applyAlignment="1"/>
    <xf numFmtId="0" fontId="4" fillId="2" borderId="0" xfId="0" applyFont="1" applyFill="1" applyAlignment="1"/>
    <xf numFmtId="0" fontId="0" fillId="2" borderId="0" xfId="0" applyFill="1" applyAlignment="1"/>
    <xf numFmtId="0" fontId="6" fillId="0" borderId="9" xfId="0" applyFont="1" applyBorder="1" applyAlignment="1">
      <alignment horizontal="center" vertical="center"/>
    </xf>
    <xf numFmtId="0" fontId="0" fillId="17" borderId="9" xfId="0" applyFill="1" applyBorder="1" applyAlignment="1">
      <alignment horizontal="left" wrapText="1"/>
    </xf>
    <xf numFmtId="0" fontId="0" fillId="10" borderId="12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/>
    <xf numFmtId="0" fontId="0" fillId="8" borderId="0" xfId="0" applyFill="1"/>
    <xf numFmtId="0" fontId="0" fillId="19" borderId="0" xfId="0" applyFill="1"/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3" fillId="20" borderId="0" xfId="0" applyFont="1" applyFill="1" applyAlignment="1">
      <alignment wrapText="1"/>
    </xf>
    <xf numFmtId="0" fontId="10" fillId="20" borderId="0" xfId="0" applyFont="1" applyFill="1" applyAlignment="1">
      <alignment wrapText="1"/>
    </xf>
    <xf numFmtId="0" fontId="0" fillId="18" borderId="11" xfId="0" applyFill="1" applyBorder="1" applyAlignment="1">
      <alignment horizontal="left" vertical="center"/>
    </xf>
    <xf numFmtId="0" fontId="0" fillId="18" borderId="11" xfId="0" applyFill="1" applyBorder="1" applyAlignment="1">
      <alignment vertical="center"/>
    </xf>
    <xf numFmtId="0" fontId="0" fillId="18" borderId="11" xfId="0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0" fillId="21" borderId="9" xfId="0" applyFill="1" applyBorder="1" applyAlignment="1">
      <alignment horizontal="left" wrapText="1"/>
    </xf>
    <xf numFmtId="0" fontId="0" fillId="13" borderId="0" xfId="0" applyFill="1"/>
    <xf numFmtId="0" fontId="0" fillId="7" borderId="0" xfId="0" applyFill="1"/>
    <xf numFmtId="0" fontId="13" fillId="7" borderId="0" xfId="0" applyFont="1" applyFill="1"/>
    <xf numFmtId="0" fontId="0" fillId="22" borderId="0" xfId="0" applyFill="1"/>
    <xf numFmtId="0" fontId="0" fillId="23" borderId="9" xfId="0" applyFill="1" applyBorder="1" applyAlignment="1">
      <alignment horizontal="left" wrapText="1"/>
    </xf>
    <xf numFmtId="0" fontId="0" fillId="16" borderId="9" xfId="0" applyFill="1" applyBorder="1" applyAlignment="1">
      <alignment horizontal="left" wrapText="1"/>
    </xf>
    <xf numFmtId="0" fontId="0" fillId="24" borderId="9" xfId="0" applyFill="1" applyBorder="1" applyAlignment="1">
      <alignment horizontal="left" wrapText="1"/>
    </xf>
    <xf numFmtId="0" fontId="6" fillId="18" borderId="10" xfId="0" applyFont="1" applyFill="1" applyBorder="1" applyAlignment="1">
      <alignment horizontal="left" vertical="center"/>
    </xf>
    <xf numFmtId="0" fontId="6" fillId="20" borderId="0" xfId="0" applyFont="1" applyFill="1" applyAlignment="1">
      <alignment horizontal="left" wrapText="1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vertical="center"/>
    </xf>
    <xf numFmtId="0" fontId="4" fillId="18" borderId="12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6" fillId="0" borderId="0" xfId="0" applyFont="1" applyAlignment="1"/>
    <xf numFmtId="0" fontId="10" fillId="20" borderId="0" xfId="0" applyFont="1" applyFill="1" applyAlignment="1">
      <alignment horizontal="center" wrapText="1"/>
    </xf>
    <xf numFmtId="0" fontId="34" fillId="0" borderId="0" xfId="0" applyFont="1"/>
    <xf numFmtId="0" fontId="34" fillId="0" borderId="0" xfId="0" applyFont="1" applyAlignment="1">
      <alignment wrapText="1"/>
    </xf>
    <xf numFmtId="0" fontId="34" fillId="0" borderId="0" xfId="0" applyFont="1" applyAlignment="1">
      <alignment horizontal="left" vertical="top" wrapText="1"/>
    </xf>
    <xf numFmtId="0" fontId="36" fillId="0" borderId="0" xfId="0" applyFont="1" applyAlignment="1">
      <alignment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Fill="1" applyAlignment="1">
      <alignment horizontal="center" vertical="center" wrapText="1"/>
    </xf>
    <xf numFmtId="0" fontId="34" fillId="0" borderId="0" xfId="0" applyFont="1" applyAlignment="1">
      <alignment horizontal="center" wrapText="1"/>
    </xf>
    <xf numFmtId="0" fontId="34" fillId="0" borderId="0" xfId="0" applyFont="1" applyAlignment="1">
      <alignment horizontal="center"/>
    </xf>
    <xf numFmtId="0" fontId="34" fillId="0" borderId="0" xfId="0" applyFont="1" applyAlignment="1"/>
    <xf numFmtId="0" fontId="35" fillId="0" borderId="0" xfId="0" applyFont="1" applyAlignment="1"/>
    <xf numFmtId="0" fontId="35" fillId="11" borderId="0" xfId="0" applyFont="1" applyFill="1" applyAlignment="1"/>
    <xf numFmtId="0" fontId="35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/>
    </xf>
    <xf numFmtId="0" fontId="4" fillId="2" borderId="1" xfId="0" applyFont="1" applyFill="1" applyBorder="1"/>
    <xf numFmtId="0" fontId="6" fillId="6" borderId="10" xfId="0" applyFont="1" applyFill="1" applyBorder="1" applyAlignment="1">
      <alignment horizontal="left" vertical="center"/>
    </xf>
    <xf numFmtId="0" fontId="4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left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25" borderId="1" xfId="0" applyFill="1" applyBorder="1" applyAlignment="1">
      <alignment horizontal="left" wrapText="1"/>
    </xf>
    <xf numFmtId="0" fontId="0" fillId="0" borderId="1" xfId="0" applyBorder="1" applyAlignment="1">
      <alignment horizontal="left"/>
    </xf>
    <xf numFmtId="0" fontId="11" fillId="0" borderId="13" xfId="0" applyFont="1" applyBorder="1" applyAlignment="1">
      <alignment wrapText="1"/>
    </xf>
    <xf numFmtId="0" fontId="0" fillId="28" borderId="1" xfId="0" applyFill="1" applyBorder="1" applyAlignment="1">
      <alignment horizontal="left" wrapText="1"/>
    </xf>
    <xf numFmtId="0" fontId="4" fillId="0" borderId="1" xfId="0" applyFont="1" applyBorder="1" applyAlignment="1">
      <alignment horizontal="left" vertical="center"/>
    </xf>
    <xf numFmtId="0" fontId="23" fillId="20" borderId="0" xfId="0" applyFont="1" applyFill="1" applyAlignment="1">
      <alignment horizontal="left" wrapText="1"/>
    </xf>
    <xf numFmtId="0" fontId="21" fillId="20" borderId="0" xfId="0" applyFont="1" applyFill="1" applyAlignment="1">
      <alignment horizontal="center" wrapText="1"/>
    </xf>
    <xf numFmtId="0" fontId="19" fillId="20" borderId="0" xfId="0" applyFont="1" applyFill="1" applyAlignment="1">
      <alignment horizontal="left" wrapText="1"/>
    </xf>
    <xf numFmtId="0" fontId="19" fillId="20" borderId="0" xfId="0" applyFont="1" applyFill="1" applyAlignment="1">
      <alignment wrapText="1"/>
    </xf>
    <xf numFmtId="0" fontId="38" fillId="6" borderId="10" xfId="0" applyFont="1" applyFill="1" applyBorder="1" applyAlignment="1">
      <alignment horizontal="left" vertical="center"/>
    </xf>
    <xf numFmtId="0" fontId="38" fillId="6" borderId="11" xfId="0" applyFont="1" applyFill="1" applyBorder="1" applyAlignment="1">
      <alignment horizontal="center" vertical="center"/>
    </xf>
    <xf numFmtId="0" fontId="38" fillId="6" borderId="11" xfId="0" applyFont="1" applyFill="1" applyBorder="1" applyAlignment="1">
      <alignment horizontal="left" vertical="center"/>
    </xf>
    <xf numFmtId="0" fontId="38" fillId="6" borderId="12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15" fillId="0" borderId="0" xfId="0" applyFont="1"/>
    <xf numFmtId="0" fontId="39" fillId="0" borderId="0" xfId="0" applyFont="1"/>
    <xf numFmtId="0" fontId="0" fillId="29" borderId="1" xfId="0" applyFill="1" applyBorder="1" applyAlignment="1">
      <alignment horizontal="left" wrapText="1"/>
    </xf>
    <xf numFmtId="0" fontId="13" fillId="0" borderId="12" xfId="0" applyFont="1" applyBorder="1" applyAlignment="1">
      <alignment horizontal="left"/>
    </xf>
    <xf numFmtId="0" fontId="40" fillId="20" borderId="0" xfId="0" applyFont="1" applyFill="1" applyAlignment="1">
      <alignment horizontal="left" wrapText="1"/>
    </xf>
    <xf numFmtId="0" fontId="41" fillId="20" borderId="0" xfId="0" applyFont="1" applyFill="1" applyAlignment="1">
      <alignment horizontal="center" wrapText="1"/>
    </xf>
    <xf numFmtId="0" fontId="42" fillId="20" borderId="0" xfId="0" applyFont="1" applyFill="1" applyAlignment="1">
      <alignment horizontal="left" wrapText="1"/>
    </xf>
    <xf numFmtId="0" fontId="42" fillId="20" borderId="0" xfId="0" applyFont="1" applyFill="1" applyAlignment="1">
      <alignment wrapText="1"/>
    </xf>
    <xf numFmtId="0" fontId="13" fillId="0" borderId="0" xfId="0" applyFont="1" applyFill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0" fillId="13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3" fillId="20" borderId="0" xfId="0" applyFont="1" applyFill="1" applyAlignment="1">
      <alignment horizontal="left" vertical="center" wrapText="1"/>
    </xf>
    <xf numFmtId="0" fontId="19" fillId="20" borderId="0" xfId="0" applyFont="1" applyFill="1" applyAlignment="1">
      <alignment horizontal="left" vertical="center" wrapText="1"/>
    </xf>
    <xf numFmtId="0" fontId="20" fillId="20" borderId="0" xfId="0" applyFont="1" applyFill="1" applyAlignment="1">
      <alignment horizontal="left" vertical="center" wrapText="1"/>
    </xf>
    <xf numFmtId="0" fontId="19" fillId="2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6" borderId="11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5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ont="1" applyFill="1" applyAlignment="1">
      <alignment wrapText="1"/>
    </xf>
    <xf numFmtId="0" fontId="10" fillId="0" borderId="13" xfId="0" applyFont="1" applyBorder="1" applyAlignment="1">
      <alignment vertical="center" wrapText="1"/>
    </xf>
    <xf numFmtId="0" fontId="0" fillId="0" borderId="13" xfId="0" applyBorder="1" applyAlignment="1">
      <alignment horizontal="left" vertical="center"/>
    </xf>
    <xf numFmtId="0" fontId="0" fillId="0" borderId="13" xfId="0" applyFont="1" applyBorder="1" applyAlignment="1">
      <alignment horizontal="left" vertical="center"/>
    </xf>
    <xf numFmtId="0" fontId="18" fillId="5" borderId="13" xfId="0" applyFont="1" applyFill="1" applyBorder="1" applyAlignment="1">
      <alignment horizontal="left" wrapText="1"/>
    </xf>
    <xf numFmtId="0" fontId="0" fillId="0" borderId="13" xfId="0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0" fillId="0" borderId="1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0" xfId="0" applyFont="1" applyBorder="1"/>
    <xf numFmtId="0" fontId="0" fillId="0" borderId="0" xfId="0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center" vertical="center"/>
    </xf>
    <xf numFmtId="2" fontId="4" fillId="2" borderId="5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3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0" borderId="9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10" fillId="0" borderId="9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left" wrapText="1"/>
    </xf>
    <xf numFmtId="0" fontId="0" fillId="24" borderId="1" xfId="0" applyFill="1" applyBorder="1" applyAlignment="1">
      <alignment horizontal="left" wrapText="1"/>
    </xf>
    <xf numFmtId="0" fontId="19" fillId="25" borderId="0" xfId="0" applyFont="1" applyFill="1" applyAlignment="1">
      <alignment horizontal="left" wrapText="1"/>
    </xf>
    <xf numFmtId="0" fontId="0" fillId="26" borderId="1" xfId="0" applyFill="1" applyBorder="1"/>
    <xf numFmtId="0" fontId="0" fillId="0" borderId="0" xfId="0" applyFill="1" applyAlignment="1">
      <alignment horizontal="left"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 applyAlignment="1">
      <alignment horizontal="center"/>
    </xf>
    <xf numFmtId="0" fontId="0" fillId="0" borderId="1" xfId="0" applyFill="1" applyBorder="1" applyAlignment="1">
      <alignment horizontal="left" vertical="center" wrapText="1"/>
    </xf>
    <xf numFmtId="0" fontId="11" fillId="0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vertical="center"/>
    </xf>
    <xf numFmtId="0" fontId="4" fillId="12" borderId="10" xfId="0" applyFont="1" applyFill="1" applyBorder="1" applyAlignment="1">
      <alignment horizontal="left" wrapText="1"/>
    </xf>
    <xf numFmtId="0" fontId="6" fillId="0" borderId="16" xfId="0" applyFont="1" applyBorder="1" applyAlignment="1">
      <alignment horizontal="left" vertical="center"/>
    </xf>
    <xf numFmtId="0" fontId="9" fillId="0" borderId="0" xfId="0" applyFont="1" applyAlignment="1">
      <alignment horizontal="left" wrapText="1"/>
    </xf>
    <xf numFmtId="0" fontId="0" fillId="0" borderId="11" xfId="0" applyFont="1" applyBorder="1" applyAlignment="1">
      <alignment horizontal="left" vertical="center"/>
    </xf>
    <xf numFmtId="0" fontId="6" fillId="30" borderId="1" xfId="0" applyFont="1" applyFill="1" applyBorder="1" applyAlignment="1">
      <alignment horizontal="left" vertical="center" wrapText="1"/>
    </xf>
    <xf numFmtId="0" fontId="23" fillId="25" borderId="13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6" fillId="30" borderId="0" xfId="0" applyFont="1" applyFill="1" applyBorder="1" applyAlignment="1">
      <alignment horizontal="left" vertical="center" wrapText="1"/>
    </xf>
    <xf numFmtId="0" fontId="6" fillId="28" borderId="0" xfId="0" applyFont="1" applyFill="1" applyBorder="1" applyAlignment="1">
      <alignment vertical="center"/>
    </xf>
    <xf numFmtId="0" fontId="23" fillId="25" borderId="0" xfId="0" applyFont="1" applyFill="1" applyBorder="1" applyAlignment="1">
      <alignment horizontal="left" vertical="center" wrapText="1"/>
    </xf>
    <xf numFmtId="0" fontId="6" fillId="30" borderId="1" xfId="0" applyFont="1" applyFill="1" applyBorder="1" applyAlignment="1">
      <alignment vertical="center"/>
    </xf>
    <xf numFmtId="0" fontId="0" fillId="0" borderId="1" xfId="0" applyBorder="1" applyAlignment="1"/>
    <xf numFmtId="0" fontId="10" fillId="0" borderId="17" xfId="0" applyFont="1" applyBorder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0" fillId="31" borderId="24" xfId="0" applyFill="1" applyBorder="1"/>
    <xf numFmtId="2" fontId="0" fillId="0" borderId="24" xfId="0" applyNumberFormat="1" applyBorder="1"/>
    <xf numFmtId="0" fontId="0" fillId="32" borderId="24" xfId="0" applyFill="1" applyBorder="1"/>
    <xf numFmtId="2" fontId="0" fillId="0" borderId="25" xfId="0" applyNumberFormat="1" applyBorder="1"/>
    <xf numFmtId="0" fontId="0" fillId="0" borderId="19" xfId="0" applyBorder="1" applyAlignment="1">
      <alignment horizontal="center"/>
    </xf>
    <xf numFmtId="0" fontId="0" fillId="31" borderId="18" xfId="0" applyFill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0" fillId="32" borderId="18" xfId="0" applyFill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19" borderId="0" xfId="0" applyFill="1" applyAlignment="1"/>
    <xf numFmtId="0" fontId="0" fillId="28" borderId="1" xfId="0" applyFill="1" applyBorder="1"/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37" fillId="0" borderId="0" xfId="0" applyFont="1" applyAlignment="1">
      <alignment horizontal="left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0" fontId="7" fillId="0" borderId="0" xfId="0" applyFont="1" applyAlignment="1">
      <alignment horizontal="left" wrapText="1"/>
    </xf>
    <xf numFmtId="0" fontId="38" fillId="0" borderId="0" xfId="0" applyFont="1" applyAlignment="1">
      <alignment horizontal="left"/>
    </xf>
    <xf numFmtId="0" fontId="37" fillId="0" borderId="0" xfId="0" applyFont="1" applyAlignment="1">
      <alignment horizontal="left"/>
    </xf>
    <xf numFmtId="0" fontId="39" fillId="0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0" fillId="26" borderId="0" xfId="0" applyFill="1"/>
    <xf numFmtId="0" fontId="0" fillId="27" borderId="0" xfId="0" applyFill="1"/>
    <xf numFmtId="0" fontId="6" fillId="0" borderId="12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/>
    <xf numFmtId="0" fontId="0" fillId="27" borderId="1" xfId="0" applyFill="1" applyBorder="1"/>
    <xf numFmtId="0" fontId="0" fillId="5" borderId="10" xfId="0" applyFill="1" applyBorder="1" applyAlignment="1">
      <alignment horizontal="left" wrapText="1"/>
    </xf>
    <xf numFmtId="0" fontId="1" fillId="25" borderId="1" xfId="0" applyFont="1" applyFill="1" applyBorder="1" applyAlignment="1">
      <alignment horizontal="left" wrapText="1"/>
    </xf>
    <xf numFmtId="0" fontId="7" fillId="0" borderId="0" xfId="0" applyFont="1" applyBorder="1"/>
    <xf numFmtId="0" fontId="13" fillId="0" borderId="0" xfId="0" applyFont="1" applyBorder="1" applyAlignment="1">
      <alignment horizontal="center"/>
    </xf>
    <xf numFmtId="0" fontId="13" fillId="0" borderId="0" xfId="0" applyFont="1" applyBorder="1"/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>
      <alignment horizontal="center" wrapText="1"/>
    </xf>
    <xf numFmtId="0" fontId="43" fillId="0" borderId="1" xfId="0" applyFont="1" applyBorder="1" applyAlignment="1">
      <alignment horizontal="center" vertical="center"/>
    </xf>
    <xf numFmtId="0" fontId="4" fillId="33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/>
    </xf>
    <xf numFmtId="0" fontId="4" fillId="35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6" borderId="1" xfId="0" applyFont="1" applyFill="1" applyBorder="1" applyAlignment="1">
      <alignment horizontal="center"/>
    </xf>
    <xf numFmtId="0" fontId="23" fillId="25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/>
    </xf>
  </cellXfs>
  <cellStyles count="830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" xfId="33" builtinId="8" hidden="1"/>
    <cellStyle name="Lien hypertexte" xfId="35" builtinId="8" hidden="1"/>
    <cellStyle name="Lien hypertexte" xfId="37" builtinId="8" hidden="1"/>
    <cellStyle name="Lien hypertexte" xfId="39" builtinId="8" hidden="1"/>
    <cellStyle name="Lien hypertexte" xfId="41" builtinId="8" hidde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" xfId="117" builtinId="8" hidden="1"/>
    <cellStyle name="Lien hypertexte" xfId="119" builtinId="8" hidden="1"/>
    <cellStyle name="Lien hypertexte" xfId="121" builtinId="8" hidden="1"/>
    <cellStyle name="Lien hypertexte" xfId="123" builtinId="8" hidden="1"/>
    <cellStyle name="Lien hypertexte" xfId="125" builtinId="8" hidden="1"/>
    <cellStyle name="Lien hypertexte" xfId="127" builtinId="8" hidden="1"/>
    <cellStyle name="Lien hypertexte" xfId="129" builtinId="8" hidden="1"/>
    <cellStyle name="Lien hypertexte" xfId="131" builtinId="8" hidden="1"/>
    <cellStyle name="Lien hypertexte" xfId="133" builtinId="8" hidden="1"/>
    <cellStyle name="Lien hypertexte" xfId="135" builtinId="8" hidden="1"/>
    <cellStyle name="Lien hypertexte" xfId="137" builtinId="8" hidden="1"/>
    <cellStyle name="Lien hypertexte" xfId="139" builtinId="8" hidden="1"/>
    <cellStyle name="Lien hypertexte" xfId="141" builtinId="8" hidden="1"/>
    <cellStyle name="Lien hypertexte" xfId="143" builtinId="8" hidden="1"/>
    <cellStyle name="Lien hypertexte" xfId="145" builtinId="8" hidden="1"/>
    <cellStyle name="Lien hypertexte" xfId="147" builtinId="8" hidden="1"/>
    <cellStyle name="Lien hypertexte" xfId="149" builtinId="8" hidden="1"/>
    <cellStyle name="Lien hypertexte" xfId="151" builtinId="8" hidden="1"/>
    <cellStyle name="Lien hypertexte" xfId="153" builtinId="8" hidden="1"/>
    <cellStyle name="Lien hypertexte" xfId="155" builtinId="8" hidden="1"/>
    <cellStyle name="Lien hypertexte" xfId="157" builtinId="8" hidden="1"/>
    <cellStyle name="Lien hypertexte" xfId="159" builtinId="8" hidden="1"/>
    <cellStyle name="Lien hypertexte" xfId="161" builtinId="8" hidden="1"/>
    <cellStyle name="Lien hypertexte" xfId="163" builtinId="8" hidden="1"/>
    <cellStyle name="Lien hypertexte" xfId="165" builtinId="8" hidden="1"/>
    <cellStyle name="Lien hypertexte" xfId="167" builtinId="8" hidden="1"/>
    <cellStyle name="Lien hypertexte" xfId="169" builtinId="8" hidden="1"/>
    <cellStyle name="Lien hypertexte" xfId="171" builtinId="8" hidden="1"/>
    <cellStyle name="Lien hypertexte" xfId="173" builtinId="8" hidden="1"/>
    <cellStyle name="Lien hypertexte" xfId="175" builtinId="8" hidden="1"/>
    <cellStyle name="Lien hypertexte" xfId="177" builtinId="8" hidden="1"/>
    <cellStyle name="Lien hypertexte" xfId="179" builtinId="8" hidden="1"/>
    <cellStyle name="Lien hypertexte" xfId="181" builtinId="8" hidden="1"/>
    <cellStyle name="Lien hypertexte" xfId="183" builtinId="8" hidden="1"/>
    <cellStyle name="Lien hypertexte" xfId="185" builtinId="8" hidden="1"/>
    <cellStyle name="Lien hypertexte" xfId="187" builtinId="8" hidden="1"/>
    <cellStyle name="Lien hypertexte" xfId="189" builtinId="8" hidden="1"/>
    <cellStyle name="Lien hypertexte" xfId="191" builtinId="8" hidden="1"/>
    <cellStyle name="Lien hypertexte" xfId="193" builtinId="8" hidden="1"/>
    <cellStyle name="Lien hypertexte" xfId="195" builtinId="8" hidden="1"/>
    <cellStyle name="Lien hypertexte" xfId="197" builtinId="8" hidden="1"/>
    <cellStyle name="Lien hypertexte" xfId="199" builtinId="8" hidden="1"/>
    <cellStyle name="Lien hypertexte" xfId="201" builtinId="8" hidden="1"/>
    <cellStyle name="Lien hypertexte" xfId="203" builtinId="8" hidden="1"/>
    <cellStyle name="Lien hypertexte" xfId="205" builtinId="8" hidden="1"/>
    <cellStyle name="Lien hypertexte" xfId="207" builtinId="8" hidden="1"/>
    <cellStyle name="Lien hypertexte" xfId="209" builtinId="8" hidden="1"/>
    <cellStyle name="Lien hypertexte" xfId="211" builtinId="8" hidden="1"/>
    <cellStyle name="Lien hypertexte" xfId="213" builtinId="8" hidden="1"/>
    <cellStyle name="Lien hypertexte" xfId="215" builtinId="8" hidden="1"/>
    <cellStyle name="Lien hypertexte" xfId="217" builtinId="8" hidden="1"/>
    <cellStyle name="Lien hypertexte" xfId="219" builtinId="8" hidden="1"/>
    <cellStyle name="Lien hypertexte" xfId="221" builtinId="8" hidden="1"/>
    <cellStyle name="Lien hypertexte" xfId="223" builtinId="8" hidden="1"/>
    <cellStyle name="Lien hypertexte" xfId="225" builtinId="8" hidden="1"/>
    <cellStyle name="Lien hypertexte" xfId="227" builtinId="8" hidden="1"/>
    <cellStyle name="Lien hypertexte" xfId="229" builtinId="8" hidden="1"/>
    <cellStyle name="Lien hypertexte" xfId="231" builtinId="8" hidden="1"/>
    <cellStyle name="Lien hypertexte" xfId="233" builtinId="8" hidden="1"/>
    <cellStyle name="Lien hypertexte" xfId="235" builtinId="8" hidden="1"/>
    <cellStyle name="Lien hypertexte" xfId="237" builtinId="8" hidden="1"/>
    <cellStyle name="Lien hypertexte" xfId="239" builtinId="8" hidden="1"/>
    <cellStyle name="Lien hypertexte" xfId="241" builtinId="8" hidden="1"/>
    <cellStyle name="Lien hypertexte" xfId="243" builtinId="8" hidden="1"/>
    <cellStyle name="Lien hypertexte" xfId="245" builtinId="8" hidden="1"/>
    <cellStyle name="Lien hypertexte" xfId="247" builtinId="8" hidden="1"/>
    <cellStyle name="Lien hypertexte" xfId="249" builtinId="8" hidden="1"/>
    <cellStyle name="Lien hypertexte" xfId="251" builtinId="8" hidden="1"/>
    <cellStyle name="Lien hypertexte" xfId="253" builtinId="8" hidden="1"/>
    <cellStyle name="Lien hypertexte" xfId="255" builtinId="8" hidden="1"/>
    <cellStyle name="Lien hypertexte" xfId="257" builtinId="8" hidden="1"/>
    <cellStyle name="Lien hypertexte" xfId="259" builtinId="8" hidden="1"/>
    <cellStyle name="Lien hypertexte" xfId="261" builtinId="8" hidden="1"/>
    <cellStyle name="Lien hypertexte" xfId="263" builtinId="8" hidden="1"/>
    <cellStyle name="Lien hypertexte" xfId="265" builtinId="8" hidden="1"/>
    <cellStyle name="Lien hypertexte" xfId="267" builtinId="8" hidden="1"/>
    <cellStyle name="Lien hypertexte" xfId="269" builtinId="8" hidden="1"/>
    <cellStyle name="Lien hypertexte" xfId="271" builtinId="8" hidden="1"/>
    <cellStyle name="Lien hypertexte" xfId="273" builtinId="8" hidden="1"/>
    <cellStyle name="Lien hypertexte" xfId="275" builtinId="8" hidden="1"/>
    <cellStyle name="Lien hypertexte" xfId="277" builtinId="8" hidden="1"/>
    <cellStyle name="Lien hypertexte" xfId="279" builtinId="8" hidden="1"/>
    <cellStyle name="Lien hypertexte" xfId="281" builtinId="8" hidden="1"/>
    <cellStyle name="Lien hypertexte" xfId="283" builtinId="8" hidden="1"/>
    <cellStyle name="Lien hypertexte" xfId="285" builtinId="8" hidden="1"/>
    <cellStyle name="Lien hypertexte" xfId="287" builtinId="8" hidden="1"/>
    <cellStyle name="Lien hypertexte" xfId="289" builtinId="8" hidden="1"/>
    <cellStyle name="Lien hypertexte" xfId="291" builtinId="8" hidden="1"/>
    <cellStyle name="Lien hypertexte" xfId="293" builtinId="8" hidden="1"/>
    <cellStyle name="Lien hypertexte" xfId="295" builtinId="8" hidden="1"/>
    <cellStyle name="Lien hypertexte" xfId="297" builtinId="8" hidden="1"/>
    <cellStyle name="Lien hypertexte" xfId="299" builtinId="8" hidden="1"/>
    <cellStyle name="Lien hypertexte" xfId="301" builtinId="8" hidden="1"/>
    <cellStyle name="Lien hypertexte" xfId="303" builtinId="8" hidden="1"/>
    <cellStyle name="Lien hypertexte" xfId="305" builtinId="8" hidden="1"/>
    <cellStyle name="Lien hypertexte" xfId="307" builtinId="8" hidden="1"/>
    <cellStyle name="Lien hypertexte" xfId="309" builtinId="8" hidden="1"/>
    <cellStyle name="Lien hypertexte" xfId="311" builtinId="8" hidden="1"/>
    <cellStyle name="Lien hypertexte" xfId="313" builtinId="8" hidden="1"/>
    <cellStyle name="Lien hypertexte" xfId="315" builtinId="8" hidden="1"/>
    <cellStyle name="Lien hypertexte" xfId="317" builtinId="8" hidden="1"/>
    <cellStyle name="Lien hypertexte" xfId="319" builtinId="8" hidden="1"/>
    <cellStyle name="Lien hypertexte" xfId="321" builtinId="8" hidden="1"/>
    <cellStyle name="Lien hypertexte" xfId="323" builtinId="8" hidden="1"/>
    <cellStyle name="Lien hypertexte" xfId="325" builtinId="8" hidden="1"/>
    <cellStyle name="Lien hypertexte" xfId="327" builtinId="8" hidden="1"/>
    <cellStyle name="Lien hypertexte" xfId="329" builtinId="8" hidden="1"/>
    <cellStyle name="Lien hypertexte" xfId="331" builtinId="8" hidden="1"/>
    <cellStyle name="Lien hypertexte" xfId="333" builtinId="8" hidden="1"/>
    <cellStyle name="Lien hypertexte" xfId="335" builtinId="8" hidden="1"/>
    <cellStyle name="Lien hypertexte" xfId="337" builtinId="8" hidden="1"/>
    <cellStyle name="Lien hypertexte" xfId="339" builtinId="8" hidden="1"/>
    <cellStyle name="Lien hypertexte" xfId="341" builtinId="8" hidden="1"/>
    <cellStyle name="Lien hypertexte" xfId="343" builtinId="8" hidden="1"/>
    <cellStyle name="Lien hypertexte" xfId="345" builtinId="8" hidden="1"/>
    <cellStyle name="Lien hypertexte" xfId="347" builtinId="8" hidden="1"/>
    <cellStyle name="Lien hypertexte" xfId="349" builtinId="8" hidden="1"/>
    <cellStyle name="Lien hypertexte" xfId="351" builtinId="8" hidden="1"/>
    <cellStyle name="Lien hypertexte" xfId="354" builtinId="8" hidden="1"/>
    <cellStyle name="Lien hypertexte" xfId="356" builtinId="8" hidden="1"/>
    <cellStyle name="Lien hypertexte" xfId="358" builtinId="8" hidden="1"/>
    <cellStyle name="Lien hypertexte" xfId="360" builtinId="8" hidden="1"/>
    <cellStyle name="Lien hypertexte" xfId="362" builtinId="8" hidden="1"/>
    <cellStyle name="Lien hypertexte" xfId="364" builtinId="8" hidden="1"/>
    <cellStyle name="Lien hypertexte" xfId="366" builtinId="8" hidden="1"/>
    <cellStyle name="Lien hypertexte" xfId="368" builtinId="8" hidden="1"/>
    <cellStyle name="Lien hypertexte" xfId="370" builtinId="8" hidden="1"/>
    <cellStyle name="Lien hypertexte" xfId="372" builtinId="8" hidden="1"/>
    <cellStyle name="Lien hypertexte" xfId="374" builtinId="8" hidden="1"/>
    <cellStyle name="Lien hypertexte" xfId="376" builtinId="8" hidden="1"/>
    <cellStyle name="Lien hypertexte" xfId="378" builtinId="8" hidden="1"/>
    <cellStyle name="Lien hypertexte" xfId="380" builtinId="8" hidden="1"/>
    <cellStyle name="Lien hypertexte" xfId="382" builtinId="8" hidden="1"/>
    <cellStyle name="Lien hypertexte" xfId="384" builtinId="8" hidden="1"/>
    <cellStyle name="Lien hypertexte" xfId="386" builtinId="8" hidden="1"/>
    <cellStyle name="Lien hypertexte" xfId="388" builtinId="8" hidden="1"/>
    <cellStyle name="Lien hypertexte" xfId="390" builtinId="8" hidden="1"/>
    <cellStyle name="Lien hypertexte" xfId="392" builtinId="8" hidden="1"/>
    <cellStyle name="Lien hypertexte" xfId="394" builtinId="8" hidden="1"/>
    <cellStyle name="Lien hypertexte" xfId="396" builtinId="8" hidden="1"/>
    <cellStyle name="Lien hypertexte" xfId="398" builtinId="8" hidden="1"/>
    <cellStyle name="Lien hypertexte" xfId="400" builtinId="8" hidden="1"/>
    <cellStyle name="Lien hypertexte" xfId="402" builtinId="8" hidden="1"/>
    <cellStyle name="Lien hypertexte" xfId="404" builtinId="8" hidden="1"/>
    <cellStyle name="Lien hypertexte" xfId="406" builtinId="8" hidden="1"/>
    <cellStyle name="Lien hypertexte" xfId="408" builtinId="8" hidden="1"/>
    <cellStyle name="Lien hypertexte" xfId="410" builtinId="8" hidden="1"/>
    <cellStyle name="Lien hypertexte" xfId="412" builtinId="8" hidden="1"/>
    <cellStyle name="Lien hypertexte" xfId="414" builtinId="8" hidden="1"/>
    <cellStyle name="Lien hypertexte" xfId="416" builtinId="8" hidden="1"/>
    <cellStyle name="Lien hypertexte" xfId="418" builtinId="8" hidden="1"/>
    <cellStyle name="Lien hypertexte" xfId="420" builtinId="8" hidden="1"/>
    <cellStyle name="Lien hypertexte" xfId="422" builtinId="8" hidden="1"/>
    <cellStyle name="Lien hypertexte" xfId="424" builtinId="8" hidden="1"/>
    <cellStyle name="Lien hypertexte" xfId="426" builtinId="8" hidden="1"/>
    <cellStyle name="Lien hypertexte" xfId="428" builtinId="8" hidden="1"/>
    <cellStyle name="Lien hypertexte" xfId="430" builtinId="8" hidden="1"/>
    <cellStyle name="Lien hypertexte" xfId="432" builtinId="8" hidden="1"/>
    <cellStyle name="Lien hypertexte" xfId="434" builtinId="8" hidden="1"/>
    <cellStyle name="Lien hypertexte" xfId="436" builtinId="8" hidden="1"/>
    <cellStyle name="Lien hypertexte" xfId="438" builtinId="8" hidden="1"/>
    <cellStyle name="Lien hypertexte" xfId="440" builtinId="8" hidden="1"/>
    <cellStyle name="Lien hypertexte" xfId="442" builtinId="8" hidden="1"/>
    <cellStyle name="Lien hypertexte" xfId="444" builtinId="8" hidden="1"/>
    <cellStyle name="Lien hypertexte" xfId="446" builtinId="8" hidden="1"/>
    <cellStyle name="Lien hypertexte" xfId="448" builtinId="8" hidden="1"/>
    <cellStyle name="Lien hypertexte" xfId="450" builtinId="8" hidden="1"/>
    <cellStyle name="Lien hypertexte" xfId="452" builtinId="8" hidden="1"/>
    <cellStyle name="Lien hypertexte" xfId="454" builtinId="8" hidden="1"/>
    <cellStyle name="Lien hypertexte" xfId="456" builtinId="8" hidden="1"/>
    <cellStyle name="Lien hypertexte" xfId="458" builtinId="8" hidden="1"/>
    <cellStyle name="Lien hypertexte" xfId="460" builtinId="8" hidden="1"/>
    <cellStyle name="Lien hypertexte" xfId="462" builtinId="8" hidden="1"/>
    <cellStyle name="Lien hypertexte" xfId="464" builtinId="8" hidden="1"/>
    <cellStyle name="Lien hypertexte" xfId="466" builtinId="8" hidden="1"/>
    <cellStyle name="Lien hypertexte" xfId="468" builtinId="8" hidden="1"/>
    <cellStyle name="Lien hypertexte" xfId="470" builtinId="8" hidden="1"/>
    <cellStyle name="Lien hypertexte" xfId="472" builtinId="8" hidden="1"/>
    <cellStyle name="Lien hypertexte" xfId="474" builtinId="8" hidden="1"/>
    <cellStyle name="Lien hypertexte" xfId="476" builtinId="8" hidden="1"/>
    <cellStyle name="Lien hypertexte" xfId="478" builtinId="8" hidden="1"/>
    <cellStyle name="Lien hypertexte" xfId="480" builtinId="8" hidden="1"/>
    <cellStyle name="Lien hypertexte" xfId="482" builtinId="8" hidden="1"/>
    <cellStyle name="Lien hypertexte" xfId="484" builtinId="8" hidden="1"/>
    <cellStyle name="Lien hypertexte" xfId="486" builtinId="8" hidden="1"/>
    <cellStyle name="Lien hypertexte" xfId="488" builtinId="8" hidden="1"/>
    <cellStyle name="Lien hypertexte" xfId="490" builtinId="8" hidden="1"/>
    <cellStyle name="Lien hypertexte" xfId="492" builtinId="8" hidden="1"/>
    <cellStyle name="Lien hypertexte" xfId="494" builtinId="8" hidden="1"/>
    <cellStyle name="Lien hypertexte" xfId="496" builtinId="8" hidden="1"/>
    <cellStyle name="Lien hypertexte" xfId="498" builtinId="8" hidden="1"/>
    <cellStyle name="Lien hypertexte" xfId="500" builtinId="8" hidden="1"/>
    <cellStyle name="Lien hypertexte" xfId="502" builtinId="8" hidden="1"/>
    <cellStyle name="Lien hypertexte" xfId="504" builtinId="8" hidden="1"/>
    <cellStyle name="Lien hypertexte" xfId="506" builtinId="8" hidden="1"/>
    <cellStyle name="Lien hypertexte" xfId="508" builtinId="8" hidden="1"/>
    <cellStyle name="Lien hypertexte" xfId="510" builtinId="8" hidden="1"/>
    <cellStyle name="Lien hypertexte" xfId="512" builtinId="8" hidden="1"/>
    <cellStyle name="Lien hypertexte" xfId="514" builtinId="8" hidden="1"/>
    <cellStyle name="Lien hypertexte" xfId="516" builtinId="8" hidden="1"/>
    <cellStyle name="Lien hypertexte" xfId="518" builtinId="8" hidden="1"/>
    <cellStyle name="Lien hypertexte" xfId="520" builtinId="8" hidden="1"/>
    <cellStyle name="Lien hypertexte" xfId="522" builtinId="8" hidden="1"/>
    <cellStyle name="Lien hypertexte" xfId="524" builtinId="8" hidden="1"/>
    <cellStyle name="Lien hypertexte" xfId="526" builtinId="8" hidden="1"/>
    <cellStyle name="Lien hypertexte" xfId="528" builtinId="8" hidden="1"/>
    <cellStyle name="Lien hypertexte" xfId="530" builtinId="8" hidden="1"/>
    <cellStyle name="Lien hypertexte" xfId="532" builtinId="8" hidden="1"/>
    <cellStyle name="Lien hypertexte" xfId="534" builtinId="8" hidden="1"/>
    <cellStyle name="Lien hypertexte" xfId="536" builtinId="8" hidden="1"/>
    <cellStyle name="Lien hypertexte" xfId="538" builtinId="8" hidden="1"/>
    <cellStyle name="Lien hypertexte" xfId="540" builtinId="8" hidden="1"/>
    <cellStyle name="Lien hypertexte" xfId="542" builtinId="8" hidden="1"/>
    <cellStyle name="Lien hypertexte" xfId="544" builtinId="8" hidden="1"/>
    <cellStyle name="Lien hypertexte" xfId="546" builtinId="8" hidden="1"/>
    <cellStyle name="Lien hypertexte" xfId="548" builtinId="8" hidden="1"/>
    <cellStyle name="Lien hypertexte" xfId="550" builtinId="8" hidden="1"/>
    <cellStyle name="Lien hypertexte" xfId="552" builtinId="8" hidden="1"/>
    <cellStyle name="Lien hypertexte" xfId="554" builtinId="8" hidden="1"/>
    <cellStyle name="Lien hypertexte" xfId="556" builtinId="8" hidden="1"/>
    <cellStyle name="Lien hypertexte" xfId="558" builtinId="8" hidden="1"/>
    <cellStyle name="Lien hypertexte" xfId="560" builtinId="8" hidden="1"/>
    <cellStyle name="Lien hypertexte" xfId="562" builtinId="8" hidden="1"/>
    <cellStyle name="Lien hypertexte" xfId="564" builtinId="8" hidden="1"/>
    <cellStyle name="Lien hypertexte" xfId="566" builtinId="8" hidden="1"/>
    <cellStyle name="Lien hypertexte" xfId="568" builtinId="8" hidden="1"/>
    <cellStyle name="Lien hypertexte" xfId="570" builtinId="8" hidden="1"/>
    <cellStyle name="Lien hypertexte" xfId="572" builtinId="8" hidden="1"/>
    <cellStyle name="Lien hypertexte" xfId="574" builtinId="8" hidden="1"/>
    <cellStyle name="Lien hypertexte" xfId="576" builtinId="8" hidden="1"/>
    <cellStyle name="Lien hypertexte" xfId="578" builtinId="8" hidden="1"/>
    <cellStyle name="Lien hypertexte" xfId="580" builtinId="8" hidden="1"/>
    <cellStyle name="Lien hypertexte" xfId="582" builtinId="8" hidden="1"/>
    <cellStyle name="Lien hypertexte" xfId="584" builtinId="8" hidden="1"/>
    <cellStyle name="Lien hypertexte" xfId="586" builtinId="8" hidden="1"/>
    <cellStyle name="Lien hypertexte" xfId="588" builtinId="8" hidden="1"/>
    <cellStyle name="Lien hypertexte" xfId="590" builtinId="8" hidden="1"/>
    <cellStyle name="Lien hypertexte" xfId="592" builtinId="8" hidden="1"/>
    <cellStyle name="Lien hypertexte" xfId="594" builtinId="8" hidden="1"/>
    <cellStyle name="Lien hypertexte" xfId="596" builtinId="8" hidden="1"/>
    <cellStyle name="Lien hypertexte" xfId="598" builtinId="8" hidden="1"/>
    <cellStyle name="Lien hypertexte" xfId="600" builtinId="8" hidden="1"/>
    <cellStyle name="Lien hypertexte" xfId="602" builtinId="8" hidden="1"/>
    <cellStyle name="Lien hypertexte" xfId="604" builtinId="8" hidden="1"/>
    <cellStyle name="Lien hypertexte" xfId="606" builtinId="8" hidden="1"/>
    <cellStyle name="Lien hypertexte" xfId="608" builtinId="8" hidden="1"/>
    <cellStyle name="Lien hypertexte" xfId="610" builtinId="8" hidden="1"/>
    <cellStyle name="Lien hypertexte" xfId="612" builtinId="8" hidden="1"/>
    <cellStyle name="Lien hypertexte" xfId="614" builtinId="8" hidden="1"/>
    <cellStyle name="Lien hypertexte" xfId="616" builtinId="8" hidden="1"/>
    <cellStyle name="Lien hypertexte" xfId="618" builtinId="8" hidden="1"/>
    <cellStyle name="Lien hypertexte" xfId="620" builtinId="8" hidden="1"/>
    <cellStyle name="Lien hypertexte" xfId="622" builtinId="8" hidden="1"/>
    <cellStyle name="Lien hypertexte" xfId="624" builtinId="8" hidden="1"/>
    <cellStyle name="Lien hypertexte" xfId="626" builtinId="8" hidden="1"/>
    <cellStyle name="Lien hypertexte" xfId="628" builtinId="8" hidden="1"/>
    <cellStyle name="Lien hypertexte" xfId="630" builtinId="8" hidden="1"/>
    <cellStyle name="Lien hypertexte" xfId="632" builtinId="8" hidden="1"/>
    <cellStyle name="Lien hypertexte" xfId="634" builtinId="8" hidden="1"/>
    <cellStyle name="Lien hypertexte" xfId="636" builtinId="8" hidden="1"/>
    <cellStyle name="Lien hypertexte" xfId="638" builtinId="8" hidden="1"/>
    <cellStyle name="Lien hypertexte" xfId="640" builtinId="8" hidden="1"/>
    <cellStyle name="Lien hypertexte" xfId="642" builtinId="8" hidden="1"/>
    <cellStyle name="Lien hypertexte" xfId="644" builtinId="8" hidden="1"/>
    <cellStyle name="Lien hypertexte" xfId="646" builtinId="8" hidden="1"/>
    <cellStyle name="Lien hypertexte" xfId="648" builtinId="8" hidden="1"/>
    <cellStyle name="Lien hypertexte" xfId="650" builtinId="8" hidden="1"/>
    <cellStyle name="Lien hypertexte" xfId="652" builtinId="8" hidden="1"/>
    <cellStyle name="Lien hypertexte" xfId="654" builtinId="8" hidden="1"/>
    <cellStyle name="Lien hypertexte" xfId="656" builtinId="8" hidden="1"/>
    <cellStyle name="Lien hypertexte" xfId="658" builtinId="8" hidden="1"/>
    <cellStyle name="Lien hypertexte" xfId="660" builtinId="8" hidden="1"/>
    <cellStyle name="Lien hypertexte" xfId="662" builtinId="8" hidden="1"/>
    <cellStyle name="Lien hypertexte" xfId="664" builtinId="8" hidden="1"/>
    <cellStyle name="Lien hypertexte" xfId="666" builtinId="8" hidden="1"/>
    <cellStyle name="Lien hypertexte" xfId="668" builtinId="8" hidden="1"/>
    <cellStyle name="Lien hypertexte" xfId="670" builtinId="8" hidden="1"/>
    <cellStyle name="Lien hypertexte" xfId="672" builtinId="8" hidden="1"/>
    <cellStyle name="Lien hypertexte" xfId="674" builtinId="8" hidden="1"/>
    <cellStyle name="Lien hypertexte" xfId="676" builtinId="8" hidden="1"/>
    <cellStyle name="Lien hypertexte" xfId="678" builtinId="8" hidden="1"/>
    <cellStyle name="Lien hypertexte" xfId="680" builtinId="8" hidden="1"/>
    <cellStyle name="Lien hypertexte" xfId="682" builtinId="8" hidden="1"/>
    <cellStyle name="Lien hypertexte" xfId="684" builtinId="8" hidden="1"/>
    <cellStyle name="Lien hypertexte" xfId="686" builtinId="8" hidden="1"/>
    <cellStyle name="Lien hypertexte" xfId="688" builtinId="8" hidden="1"/>
    <cellStyle name="Lien hypertexte" xfId="690" builtinId="8" hidden="1"/>
    <cellStyle name="Lien hypertexte" xfId="692" builtinId="8" hidden="1"/>
    <cellStyle name="Lien hypertexte" xfId="694" builtinId="8" hidden="1"/>
    <cellStyle name="Lien hypertexte" xfId="696" builtinId="8" hidden="1"/>
    <cellStyle name="Lien hypertexte" xfId="698" builtinId="8" hidden="1"/>
    <cellStyle name="Lien hypertexte" xfId="700" builtinId="8" hidden="1"/>
    <cellStyle name="Lien hypertexte" xfId="702" builtinId="8" hidden="1"/>
    <cellStyle name="Lien hypertexte" xfId="704" builtinId="8" hidden="1"/>
    <cellStyle name="Lien hypertexte" xfId="706" builtinId="8" hidden="1"/>
    <cellStyle name="Lien hypertexte" xfId="708" builtinId="8" hidden="1"/>
    <cellStyle name="Lien hypertexte" xfId="710" builtinId="8" hidden="1"/>
    <cellStyle name="Lien hypertexte" xfId="712" builtinId="8" hidden="1"/>
    <cellStyle name="Lien hypertexte" xfId="714" builtinId="8" hidden="1"/>
    <cellStyle name="Lien hypertexte" xfId="716" builtinId="8" hidden="1"/>
    <cellStyle name="Lien hypertexte" xfId="718" builtinId="8" hidden="1"/>
    <cellStyle name="Lien hypertexte" xfId="720" builtinId="8" hidden="1"/>
    <cellStyle name="Lien hypertexte" xfId="722" builtinId="8" hidden="1"/>
    <cellStyle name="Lien hypertexte" xfId="724" builtinId="8" hidden="1"/>
    <cellStyle name="Lien hypertexte" xfId="726" builtinId="8" hidden="1"/>
    <cellStyle name="Lien hypertexte" xfId="728" builtinId="8" hidden="1"/>
    <cellStyle name="Lien hypertexte" xfId="730" builtinId="8" hidden="1"/>
    <cellStyle name="Lien hypertexte" xfId="732" builtinId="8" hidden="1"/>
    <cellStyle name="Lien hypertexte" xfId="734" builtinId="8" hidden="1"/>
    <cellStyle name="Lien hypertexte" xfId="736" builtinId="8" hidden="1"/>
    <cellStyle name="Lien hypertexte" xfId="738" builtinId="8" hidden="1"/>
    <cellStyle name="Lien hypertexte" xfId="740" builtinId="8" hidden="1"/>
    <cellStyle name="Lien hypertexte" xfId="742" builtinId="8" hidden="1"/>
    <cellStyle name="Lien hypertexte" xfId="744" builtinId="8" hidden="1"/>
    <cellStyle name="Lien hypertexte" xfId="746" builtinId="8" hidden="1"/>
    <cellStyle name="Lien hypertexte" xfId="748" builtinId="8" hidden="1"/>
    <cellStyle name="Lien hypertexte" xfId="750" builtinId="8" hidden="1"/>
    <cellStyle name="Lien hypertexte" xfId="752" builtinId="8" hidden="1"/>
    <cellStyle name="Lien hypertexte" xfId="754" builtinId="8" hidden="1"/>
    <cellStyle name="Lien hypertexte" xfId="756" builtinId="8" hidden="1"/>
    <cellStyle name="Lien hypertexte" xfId="758" builtinId="8" hidden="1"/>
    <cellStyle name="Lien hypertexte" xfId="760" builtinId="8" hidden="1"/>
    <cellStyle name="Lien hypertexte" xfId="762" builtinId="8" hidden="1"/>
    <cellStyle name="Lien hypertexte" xfId="764" builtinId="8" hidden="1"/>
    <cellStyle name="Lien hypertexte" xfId="766" builtinId="8" hidden="1"/>
    <cellStyle name="Lien hypertexte" xfId="768" builtinId="8" hidden="1"/>
    <cellStyle name="Lien hypertexte" xfId="770" builtinId="8" hidden="1"/>
    <cellStyle name="Lien hypertexte" xfId="772" builtinId="8" hidden="1"/>
    <cellStyle name="Lien hypertexte" xfId="774" builtinId="8" hidden="1"/>
    <cellStyle name="Lien hypertexte" xfId="776" builtinId="8" hidden="1"/>
    <cellStyle name="Lien hypertexte" xfId="778" builtinId="8" hidden="1"/>
    <cellStyle name="Lien hypertexte" xfId="780" builtinId="8" hidden="1"/>
    <cellStyle name="Lien hypertexte" xfId="782" builtinId="8" hidden="1"/>
    <cellStyle name="Lien hypertexte" xfId="784" builtinId="8" hidden="1"/>
    <cellStyle name="Lien hypertexte" xfId="786" builtinId="8" hidden="1"/>
    <cellStyle name="Lien hypertexte" xfId="788" builtinId="8" hidden="1"/>
    <cellStyle name="Lien hypertexte" xfId="790" builtinId="8" hidden="1"/>
    <cellStyle name="Lien hypertexte" xfId="792" builtinId="8" hidden="1"/>
    <cellStyle name="Lien hypertexte" xfId="794" builtinId="8" hidden="1"/>
    <cellStyle name="Lien hypertexte" xfId="796" builtinId="8" hidden="1"/>
    <cellStyle name="Lien hypertexte" xfId="798" builtinId="8" hidden="1"/>
    <cellStyle name="Lien hypertexte" xfId="800" builtinId="8" hidden="1"/>
    <cellStyle name="Lien hypertexte" xfId="802" builtinId="8" hidden="1"/>
    <cellStyle name="Lien hypertexte" xfId="804" builtinId="8" hidden="1"/>
    <cellStyle name="Lien hypertexte" xfId="806" builtinId="8" hidden="1"/>
    <cellStyle name="Lien hypertexte" xfId="808" builtinId="8" hidden="1"/>
    <cellStyle name="Lien hypertexte" xfId="810" builtinId="8" hidden="1"/>
    <cellStyle name="Lien hypertexte" xfId="812" builtinId="8" hidden="1"/>
    <cellStyle name="Lien hypertexte" xfId="814" builtinId="8" hidden="1"/>
    <cellStyle name="Lien hypertexte" xfId="816" builtinId="8" hidden="1"/>
    <cellStyle name="Lien hypertexte" xfId="818" builtinId="8" hidden="1"/>
    <cellStyle name="Lien hypertexte" xfId="820" builtinId="8" hidden="1"/>
    <cellStyle name="Lien hypertexte" xfId="822" builtinId="8" hidden="1"/>
    <cellStyle name="Lien hypertexte" xfId="824" builtinId="8" hidden="1"/>
    <cellStyle name="Lien hypertexte" xfId="826" builtinId="8" hidden="1"/>
    <cellStyle name="Lien hypertexte" xfId="828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Lien hypertexte visité" xfId="34" builtinId="9" hidden="1"/>
    <cellStyle name="Lien hypertexte visité" xfId="36" builtinId="9" hidden="1"/>
    <cellStyle name="Lien hypertexte visité" xfId="38" builtinId="9" hidden="1"/>
    <cellStyle name="Lien hypertexte visité" xfId="40" builtinId="9" hidden="1"/>
    <cellStyle name="Lien hypertexte visité" xfId="42" builtinId="9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Lien hypertexte visité" xfId="118" builtinId="9" hidden="1"/>
    <cellStyle name="Lien hypertexte visité" xfId="120" builtinId="9" hidden="1"/>
    <cellStyle name="Lien hypertexte visité" xfId="122" builtinId="9" hidden="1"/>
    <cellStyle name="Lien hypertexte visité" xfId="124" builtinId="9" hidden="1"/>
    <cellStyle name="Lien hypertexte visité" xfId="126" builtinId="9" hidden="1"/>
    <cellStyle name="Lien hypertexte visité" xfId="128" builtinId="9" hidden="1"/>
    <cellStyle name="Lien hypertexte visité" xfId="130" builtinId="9" hidden="1"/>
    <cellStyle name="Lien hypertexte visité" xfId="132" builtinId="9" hidden="1"/>
    <cellStyle name="Lien hypertexte visité" xfId="134" builtinId="9" hidden="1"/>
    <cellStyle name="Lien hypertexte visité" xfId="136" builtinId="9" hidden="1"/>
    <cellStyle name="Lien hypertexte visité" xfId="138" builtinId="9" hidden="1"/>
    <cellStyle name="Lien hypertexte visité" xfId="140" builtinId="9" hidden="1"/>
    <cellStyle name="Lien hypertexte visité" xfId="142" builtinId="9" hidden="1"/>
    <cellStyle name="Lien hypertexte visité" xfId="144" builtinId="9" hidden="1"/>
    <cellStyle name="Lien hypertexte visité" xfId="146" builtinId="9" hidden="1"/>
    <cellStyle name="Lien hypertexte visité" xfId="148" builtinId="9" hidden="1"/>
    <cellStyle name="Lien hypertexte visité" xfId="150" builtinId="9" hidden="1"/>
    <cellStyle name="Lien hypertexte visité" xfId="152" builtinId="9" hidden="1"/>
    <cellStyle name="Lien hypertexte visité" xfId="154" builtinId="9" hidden="1"/>
    <cellStyle name="Lien hypertexte visité" xfId="156" builtinId="9" hidden="1"/>
    <cellStyle name="Lien hypertexte visité" xfId="158" builtinId="9" hidden="1"/>
    <cellStyle name="Lien hypertexte visité" xfId="160" builtinId="9" hidden="1"/>
    <cellStyle name="Lien hypertexte visité" xfId="162" builtinId="9" hidden="1"/>
    <cellStyle name="Lien hypertexte visité" xfId="164" builtinId="9" hidden="1"/>
    <cellStyle name="Lien hypertexte visité" xfId="166" builtinId="9" hidden="1"/>
    <cellStyle name="Lien hypertexte visité" xfId="168" builtinId="9" hidden="1"/>
    <cellStyle name="Lien hypertexte visité" xfId="170" builtinId="9" hidden="1"/>
    <cellStyle name="Lien hypertexte visité" xfId="172" builtinId="9" hidden="1"/>
    <cellStyle name="Lien hypertexte visité" xfId="174" builtinId="9" hidden="1"/>
    <cellStyle name="Lien hypertexte visité" xfId="176" builtinId="9" hidden="1"/>
    <cellStyle name="Lien hypertexte visité" xfId="178" builtinId="9" hidden="1"/>
    <cellStyle name="Lien hypertexte visité" xfId="180" builtinId="9" hidden="1"/>
    <cellStyle name="Lien hypertexte visité" xfId="182" builtinId="9" hidden="1"/>
    <cellStyle name="Lien hypertexte visité" xfId="184" builtinId="9" hidden="1"/>
    <cellStyle name="Lien hypertexte visité" xfId="186" builtinId="9" hidden="1"/>
    <cellStyle name="Lien hypertexte visité" xfId="188" builtinId="9" hidden="1"/>
    <cellStyle name="Lien hypertexte visité" xfId="190" builtinId="9" hidden="1"/>
    <cellStyle name="Lien hypertexte visité" xfId="192" builtinId="9" hidden="1"/>
    <cellStyle name="Lien hypertexte visité" xfId="194" builtinId="9" hidden="1"/>
    <cellStyle name="Lien hypertexte visité" xfId="196" builtinId="9" hidden="1"/>
    <cellStyle name="Lien hypertexte visité" xfId="198" builtinId="9" hidden="1"/>
    <cellStyle name="Lien hypertexte visité" xfId="200" builtinId="9" hidden="1"/>
    <cellStyle name="Lien hypertexte visité" xfId="202" builtinId="9" hidden="1"/>
    <cellStyle name="Lien hypertexte visité" xfId="204" builtinId="9" hidden="1"/>
    <cellStyle name="Lien hypertexte visité" xfId="206" builtinId="9" hidden="1"/>
    <cellStyle name="Lien hypertexte visité" xfId="208" builtinId="9" hidden="1"/>
    <cellStyle name="Lien hypertexte visité" xfId="210" builtinId="9" hidden="1"/>
    <cellStyle name="Lien hypertexte visité" xfId="212" builtinId="9" hidden="1"/>
    <cellStyle name="Lien hypertexte visité" xfId="214" builtinId="9" hidden="1"/>
    <cellStyle name="Lien hypertexte visité" xfId="216" builtinId="9" hidden="1"/>
    <cellStyle name="Lien hypertexte visité" xfId="218" builtinId="9" hidden="1"/>
    <cellStyle name="Lien hypertexte visité" xfId="220" builtinId="9" hidden="1"/>
    <cellStyle name="Lien hypertexte visité" xfId="222" builtinId="9" hidden="1"/>
    <cellStyle name="Lien hypertexte visité" xfId="224" builtinId="9" hidden="1"/>
    <cellStyle name="Lien hypertexte visité" xfId="226" builtinId="9" hidden="1"/>
    <cellStyle name="Lien hypertexte visité" xfId="228" builtinId="9" hidden="1"/>
    <cellStyle name="Lien hypertexte visité" xfId="230" builtinId="9" hidden="1"/>
    <cellStyle name="Lien hypertexte visité" xfId="232" builtinId="9" hidden="1"/>
    <cellStyle name="Lien hypertexte visité" xfId="234" builtinId="9" hidden="1"/>
    <cellStyle name="Lien hypertexte visité" xfId="236" builtinId="9" hidden="1"/>
    <cellStyle name="Lien hypertexte visité" xfId="238" builtinId="9" hidden="1"/>
    <cellStyle name="Lien hypertexte visité" xfId="240" builtinId="9" hidden="1"/>
    <cellStyle name="Lien hypertexte visité" xfId="242" builtinId="9" hidden="1"/>
    <cellStyle name="Lien hypertexte visité" xfId="244" builtinId="9" hidden="1"/>
    <cellStyle name="Lien hypertexte visité" xfId="246" builtinId="9" hidden="1"/>
    <cellStyle name="Lien hypertexte visité" xfId="248" builtinId="9" hidden="1"/>
    <cellStyle name="Lien hypertexte visité" xfId="250" builtinId="9" hidden="1"/>
    <cellStyle name="Lien hypertexte visité" xfId="252" builtinId="9" hidden="1"/>
    <cellStyle name="Lien hypertexte visité" xfId="254" builtinId="9" hidden="1"/>
    <cellStyle name="Lien hypertexte visité" xfId="256" builtinId="9" hidden="1"/>
    <cellStyle name="Lien hypertexte visité" xfId="258" builtinId="9" hidden="1"/>
    <cellStyle name="Lien hypertexte visité" xfId="260" builtinId="9" hidden="1"/>
    <cellStyle name="Lien hypertexte visité" xfId="262" builtinId="9" hidden="1"/>
    <cellStyle name="Lien hypertexte visité" xfId="264" builtinId="9" hidden="1"/>
    <cellStyle name="Lien hypertexte visité" xfId="266" builtinId="9" hidden="1"/>
    <cellStyle name="Lien hypertexte visité" xfId="268" builtinId="9" hidden="1"/>
    <cellStyle name="Lien hypertexte visité" xfId="270" builtinId="9" hidden="1"/>
    <cellStyle name="Lien hypertexte visité" xfId="272" builtinId="9" hidden="1"/>
    <cellStyle name="Lien hypertexte visité" xfId="274" builtinId="9" hidden="1"/>
    <cellStyle name="Lien hypertexte visité" xfId="276" builtinId="9" hidden="1"/>
    <cellStyle name="Lien hypertexte visité" xfId="278" builtinId="9" hidden="1"/>
    <cellStyle name="Lien hypertexte visité" xfId="280" builtinId="9" hidden="1"/>
    <cellStyle name="Lien hypertexte visité" xfId="282" builtinId="9" hidden="1"/>
    <cellStyle name="Lien hypertexte visité" xfId="284" builtinId="9" hidden="1"/>
    <cellStyle name="Lien hypertexte visité" xfId="286" builtinId="9" hidden="1"/>
    <cellStyle name="Lien hypertexte visité" xfId="288" builtinId="9" hidden="1"/>
    <cellStyle name="Lien hypertexte visité" xfId="290" builtinId="9" hidden="1"/>
    <cellStyle name="Lien hypertexte visité" xfId="292" builtinId="9" hidden="1"/>
    <cellStyle name="Lien hypertexte visité" xfId="294" builtinId="9" hidden="1"/>
    <cellStyle name="Lien hypertexte visité" xfId="296" builtinId="9" hidden="1"/>
    <cellStyle name="Lien hypertexte visité" xfId="298" builtinId="9" hidden="1"/>
    <cellStyle name="Lien hypertexte visité" xfId="300" builtinId="9" hidden="1"/>
    <cellStyle name="Lien hypertexte visité" xfId="302" builtinId="9" hidden="1"/>
    <cellStyle name="Lien hypertexte visité" xfId="304" builtinId="9" hidden="1"/>
    <cellStyle name="Lien hypertexte visité" xfId="306" builtinId="9" hidden="1"/>
    <cellStyle name="Lien hypertexte visité" xfId="308" builtinId="9" hidden="1"/>
    <cellStyle name="Lien hypertexte visité" xfId="310" builtinId="9" hidden="1"/>
    <cellStyle name="Lien hypertexte visité" xfId="312" builtinId="9" hidden="1"/>
    <cellStyle name="Lien hypertexte visité" xfId="314" builtinId="9" hidden="1"/>
    <cellStyle name="Lien hypertexte visité" xfId="316" builtinId="9" hidden="1"/>
    <cellStyle name="Lien hypertexte visité" xfId="318" builtinId="9" hidden="1"/>
    <cellStyle name="Lien hypertexte visité" xfId="320" builtinId="9" hidden="1"/>
    <cellStyle name="Lien hypertexte visité" xfId="322" builtinId="9" hidden="1"/>
    <cellStyle name="Lien hypertexte visité" xfId="324" builtinId="9" hidden="1"/>
    <cellStyle name="Lien hypertexte visité" xfId="326" builtinId="9" hidden="1"/>
    <cellStyle name="Lien hypertexte visité" xfId="328" builtinId="9" hidden="1"/>
    <cellStyle name="Lien hypertexte visité" xfId="330" builtinId="9" hidden="1"/>
    <cellStyle name="Lien hypertexte visité" xfId="332" builtinId="9" hidden="1"/>
    <cellStyle name="Lien hypertexte visité" xfId="334" builtinId="9" hidden="1"/>
    <cellStyle name="Lien hypertexte visité" xfId="336" builtinId="9" hidden="1"/>
    <cellStyle name="Lien hypertexte visité" xfId="338" builtinId="9" hidden="1"/>
    <cellStyle name="Lien hypertexte visité" xfId="340" builtinId="9" hidden="1"/>
    <cellStyle name="Lien hypertexte visité" xfId="342" builtinId="9" hidden="1"/>
    <cellStyle name="Lien hypertexte visité" xfId="344" builtinId="9" hidden="1"/>
    <cellStyle name="Lien hypertexte visité" xfId="346" builtinId="9" hidden="1"/>
    <cellStyle name="Lien hypertexte visité" xfId="348" builtinId="9" hidden="1"/>
    <cellStyle name="Lien hypertexte visité" xfId="350" builtinId="9" hidden="1"/>
    <cellStyle name="Lien hypertexte visité" xfId="352" builtinId="9" hidden="1"/>
    <cellStyle name="Lien hypertexte visité" xfId="355" builtinId="9" hidden="1"/>
    <cellStyle name="Lien hypertexte visité" xfId="357" builtinId="9" hidden="1"/>
    <cellStyle name="Lien hypertexte visité" xfId="359" builtinId="9" hidden="1"/>
    <cellStyle name="Lien hypertexte visité" xfId="361" builtinId="9" hidden="1"/>
    <cellStyle name="Lien hypertexte visité" xfId="363" builtinId="9" hidden="1"/>
    <cellStyle name="Lien hypertexte visité" xfId="365" builtinId="9" hidden="1"/>
    <cellStyle name="Lien hypertexte visité" xfId="367" builtinId="9" hidden="1"/>
    <cellStyle name="Lien hypertexte visité" xfId="369" builtinId="9" hidden="1"/>
    <cellStyle name="Lien hypertexte visité" xfId="371" builtinId="9" hidden="1"/>
    <cellStyle name="Lien hypertexte visité" xfId="373" builtinId="9" hidden="1"/>
    <cellStyle name="Lien hypertexte visité" xfId="375" builtinId="9" hidden="1"/>
    <cellStyle name="Lien hypertexte visité" xfId="377" builtinId="9" hidden="1"/>
    <cellStyle name="Lien hypertexte visité" xfId="379" builtinId="9" hidden="1"/>
    <cellStyle name="Lien hypertexte visité" xfId="381" builtinId="9" hidden="1"/>
    <cellStyle name="Lien hypertexte visité" xfId="383" builtinId="9" hidden="1"/>
    <cellStyle name="Lien hypertexte visité" xfId="385" builtinId="9" hidden="1"/>
    <cellStyle name="Lien hypertexte visité" xfId="387" builtinId="9" hidden="1"/>
    <cellStyle name="Lien hypertexte visité" xfId="389" builtinId="9" hidden="1"/>
    <cellStyle name="Lien hypertexte visité" xfId="391" builtinId="9" hidden="1"/>
    <cellStyle name="Lien hypertexte visité" xfId="393" builtinId="9" hidden="1"/>
    <cellStyle name="Lien hypertexte visité" xfId="395" builtinId="9" hidden="1"/>
    <cellStyle name="Lien hypertexte visité" xfId="397" builtinId="9" hidden="1"/>
    <cellStyle name="Lien hypertexte visité" xfId="399" builtinId="9" hidden="1"/>
    <cellStyle name="Lien hypertexte visité" xfId="401" builtinId="9" hidden="1"/>
    <cellStyle name="Lien hypertexte visité" xfId="403" builtinId="9" hidden="1"/>
    <cellStyle name="Lien hypertexte visité" xfId="405" builtinId="9" hidden="1"/>
    <cellStyle name="Lien hypertexte visité" xfId="407" builtinId="9" hidden="1"/>
    <cellStyle name="Lien hypertexte visité" xfId="409" builtinId="9" hidden="1"/>
    <cellStyle name="Lien hypertexte visité" xfId="411" builtinId="9" hidden="1"/>
    <cellStyle name="Lien hypertexte visité" xfId="413" builtinId="9" hidden="1"/>
    <cellStyle name="Lien hypertexte visité" xfId="415" builtinId="9" hidden="1"/>
    <cellStyle name="Lien hypertexte visité" xfId="417" builtinId="9" hidden="1"/>
    <cellStyle name="Lien hypertexte visité" xfId="419" builtinId="9" hidden="1"/>
    <cellStyle name="Lien hypertexte visité" xfId="421" builtinId="9" hidden="1"/>
    <cellStyle name="Lien hypertexte visité" xfId="423" builtinId="9" hidden="1"/>
    <cellStyle name="Lien hypertexte visité" xfId="425" builtinId="9" hidden="1"/>
    <cellStyle name="Lien hypertexte visité" xfId="427" builtinId="9" hidden="1"/>
    <cellStyle name="Lien hypertexte visité" xfId="429" builtinId="9" hidden="1"/>
    <cellStyle name="Lien hypertexte visité" xfId="431" builtinId="9" hidden="1"/>
    <cellStyle name="Lien hypertexte visité" xfId="433" builtinId="9" hidden="1"/>
    <cellStyle name="Lien hypertexte visité" xfId="435" builtinId="9" hidden="1"/>
    <cellStyle name="Lien hypertexte visité" xfId="437" builtinId="9" hidden="1"/>
    <cellStyle name="Lien hypertexte visité" xfId="439" builtinId="9" hidden="1"/>
    <cellStyle name="Lien hypertexte visité" xfId="441" builtinId="9" hidden="1"/>
    <cellStyle name="Lien hypertexte visité" xfId="443" builtinId="9" hidden="1"/>
    <cellStyle name="Lien hypertexte visité" xfId="445" builtinId="9" hidden="1"/>
    <cellStyle name="Lien hypertexte visité" xfId="447" builtinId="9" hidden="1"/>
    <cellStyle name="Lien hypertexte visité" xfId="449" builtinId="9" hidden="1"/>
    <cellStyle name="Lien hypertexte visité" xfId="451" builtinId="9" hidden="1"/>
    <cellStyle name="Lien hypertexte visité" xfId="453" builtinId="9" hidden="1"/>
    <cellStyle name="Lien hypertexte visité" xfId="455" builtinId="9" hidden="1"/>
    <cellStyle name="Lien hypertexte visité" xfId="457" builtinId="9" hidden="1"/>
    <cellStyle name="Lien hypertexte visité" xfId="459" builtinId="9" hidden="1"/>
    <cellStyle name="Lien hypertexte visité" xfId="461" builtinId="9" hidden="1"/>
    <cellStyle name="Lien hypertexte visité" xfId="463" builtinId="9" hidden="1"/>
    <cellStyle name="Lien hypertexte visité" xfId="465" builtinId="9" hidden="1"/>
    <cellStyle name="Lien hypertexte visité" xfId="467" builtinId="9" hidden="1"/>
    <cellStyle name="Lien hypertexte visité" xfId="469" builtinId="9" hidden="1"/>
    <cellStyle name="Lien hypertexte visité" xfId="471" builtinId="9" hidden="1"/>
    <cellStyle name="Lien hypertexte visité" xfId="473" builtinId="9" hidden="1"/>
    <cellStyle name="Lien hypertexte visité" xfId="475" builtinId="9" hidden="1"/>
    <cellStyle name="Lien hypertexte visité" xfId="477" builtinId="9" hidden="1"/>
    <cellStyle name="Lien hypertexte visité" xfId="479" builtinId="9" hidden="1"/>
    <cellStyle name="Lien hypertexte visité" xfId="481" builtinId="9" hidden="1"/>
    <cellStyle name="Lien hypertexte visité" xfId="483" builtinId="9" hidden="1"/>
    <cellStyle name="Lien hypertexte visité" xfId="485" builtinId="9" hidden="1"/>
    <cellStyle name="Lien hypertexte visité" xfId="487" builtinId="9" hidden="1"/>
    <cellStyle name="Lien hypertexte visité" xfId="489" builtinId="9" hidden="1"/>
    <cellStyle name="Lien hypertexte visité" xfId="491" builtinId="9" hidden="1"/>
    <cellStyle name="Lien hypertexte visité" xfId="493" builtinId="9" hidden="1"/>
    <cellStyle name="Lien hypertexte visité" xfId="495" builtinId="9" hidden="1"/>
    <cellStyle name="Lien hypertexte visité" xfId="497" builtinId="9" hidden="1"/>
    <cellStyle name="Lien hypertexte visité" xfId="499" builtinId="9" hidden="1"/>
    <cellStyle name="Lien hypertexte visité" xfId="501" builtinId="9" hidden="1"/>
    <cellStyle name="Lien hypertexte visité" xfId="503" builtinId="9" hidden="1"/>
    <cellStyle name="Lien hypertexte visité" xfId="505" builtinId="9" hidden="1"/>
    <cellStyle name="Lien hypertexte visité" xfId="507" builtinId="9" hidden="1"/>
    <cellStyle name="Lien hypertexte visité" xfId="509" builtinId="9" hidden="1"/>
    <cellStyle name="Lien hypertexte visité" xfId="511" builtinId="9" hidden="1"/>
    <cellStyle name="Lien hypertexte visité" xfId="513" builtinId="9" hidden="1"/>
    <cellStyle name="Lien hypertexte visité" xfId="515" builtinId="9" hidden="1"/>
    <cellStyle name="Lien hypertexte visité" xfId="517" builtinId="9" hidden="1"/>
    <cellStyle name="Lien hypertexte visité" xfId="519" builtinId="9" hidden="1"/>
    <cellStyle name="Lien hypertexte visité" xfId="521" builtinId="9" hidden="1"/>
    <cellStyle name="Lien hypertexte visité" xfId="523" builtinId="9" hidden="1"/>
    <cellStyle name="Lien hypertexte visité" xfId="525" builtinId="9" hidden="1"/>
    <cellStyle name="Lien hypertexte visité" xfId="527" builtinId="9" hidden="1"/>
    <cellStyle name="Lien hypertexte visité" xfId="529" builtinId="9" hidden="1"/>
    <cellStyle name="Lien hypertexte visité" xfId="531" builtinId="9" hidden="1"/>
    <cellStyle name="Lien hypertexte visité" xfId="533" builtinId="9" hidden="1"/>
    <cellStyle name="Lien hypertexte visité" xfId="535" builtinId="9" hidden="1"/>
    <cellStyle name="Lien hypertexte visité" xfId="537" builtinId="9" hidden="1"/>
    <cellStyle name="Lien hypertexte visité" xfId="539" builtinId="9" hidden="1"/>
    <cellStyle name="Lien hypertexte visité" xfId="541" builtinId="9" hidden="1"/>
    <cellStyle name="Lien hypertexte visité" xfId="543" builtinId="9" hidden="1"/>
    <cellStyle name="Lien hypertexte visité" xfId="545" builtinId="9" hidden="1"/>
    <cellStyle name="Lien hypertexte visité" xfId="547" builtinId="9" hidden="1"/>
    <cellStyle name="Lien hypertexte visité" xfId="549" builtinId="9" hidden="1"/>
    <cellStyle name="Lien hypertexte visité" xfId="551" builtinId="9" hidden="1"/>
    <cellStyle name="Lien hypertexte visité" xfId="553" builtinId="9" hidden="1"/>
    <cellStyle name="Lien hypertexte visité" xfId="555" builtinId="9" hidden="1"/>
    <cellStyle name="Lien hypertexte visité" xfId="557" builtinId="9" hidden="1"/>
    <cellStyle name="Lien hypertexte visité" xfId="559" builtinId="9" hidden="1"/>
    <cellStyle name="Lien hypertexte visité" xfId="561" builtinId="9" hidden="1"/>
    <cellStyle name="Lien hypertexte visité" xfId="563" builtinId="9" hidden="1"/>
    <cellStyle name="Lien hypertexte visité" xfId="565" builtinId="9" hidden="1"/>
    <cellStyle name="Lien hypertexte visité" xfId="567" builtinId="9" hidden="1"/>
    <cellStyle name="Lien hypertexte visité" xfId="569" builtinId="9" hidden="1"/>
    <cellStyle name="Lien hypertexte visité" xfId="571" builtinId="9" hidden="1"/>
    <cellStyle name="Lien hypertexte visité" xfId="573" builtinId="9" hidden="1"/>
    <cellStyle name="Lien hypertexte visité" xfId="575" builtinId="9" hidden="1"/>
    <cellStyle name="Lien hypertexte visité" xfId="577" builtinId="9" hidden="1"/>
    <cellStyle name="Lien hypertexte visité" xfId="579" builtinId="9" hidden="1"/>
    <cellStyle name="Lien hypertexte visité" xfId="581" builtinId="9" hidden="1"/>
    <cellStyle name="Lien hypertexte visité" xfId="583" builtinId="9" hidden="1"/>
    <cellStyle name="Lien hypertexte visité" xfId="585" builtinId="9" hidden="1"/>
    <cellStyle name="Lien hypertexte visité" xfId="587" builtinId="9" hidden="1"/>
    <cellStyle name="Lien hypertexte visité" xfId="589" builtinId="9" hidden="1"/>
    <cellStyle name="Lien hypertexte visité" xfId="591" builtinId="9" hidden="1"/>
    <cellStyle name="Lien hypertexte visité" xfId="593" builtinId="9" hidden="1"/>
    <cellStyle name="Lien hypertexte visité" xfId="595" builtinId="9" hidden="1"/>
    <cellStyle name="Lien hypertexte visité" xfId="597" builtinId="9" hidden="1"/>
    <cellStyle name="Lien hypertexte visité" xfId="599" builtinId="9" hidden="1"/>
    <cellStyle name="Lien hypertexte visité" xfId="601" builtinId="9" hidden="1"/>
    <cellStyle name="Lien hypertexte visité" xfId="603" builtinId="9" hidden="1"/>
    <cellStyle name="Lien hypertexte visité" xfId="605" builtinId="9" hidden="1"/>
    <cellStyle name="Lien hypertexte visité" xfId="607" builtinId="9" hidden="1"/>
    <cellStyle name="Lien hypertexte visité" xfId="609" builtinId="9" hidden="1"/>
    <cellStyle name="Lien hypertexte visité" xfId="611" builtinId="9" hidden="1"/>
    <cellStyle name="Lien hypertexte visité" xfId="613" builtinId="9" hidden="1"/>
    <cellStyle name="Lien hypertexte visité" xfId="615" builtinId="9" hidden="1"/>
    <cellStyle name="Lien hypertexte visité" xfId="617" builtinId="9" hidden="1"/>
    <cellStyle name="Lien hypertexte visité" xfId="619" builtinId="9" hidden="1"/>
    <cellStyle name="Lien hypertexte visité" xfId="621" builtinId="9" hidden="1"/>
    <cellStyle name="Lien hypertexte visité" xfId="623" builtinId="9" hidden="1"/>
    <cellStyle name="Lien hypertexte visité" xfId="625" builtinId="9" hidden="1"/>
    <cellStyle name="Lien hypertexte visité" xfId="627" builtinId="9" hidden="1"/>
    <cellStyle name="Lien hypertexte visité" xfId="629" builtinId="9" hidden="1"/>
    <cellStyle name="Lien hypertexte visité" xfId="631" builtinId="9" hidden="1"/>
    <cellStyle name="Lien hypertexte visité" xfId="633" builtinId="9" hidden="1"/>
    <cellStyle name="Lien hypertexte visité" xfId="635" builtinId="9" hidden="1"/>
    <cellStyle name="Lien hypertexte visité" xfId="637" builtinId="9" hidden="1"/>
    <cellStyle name="Lien hypertexte visité" xfId="639" builtinId="9" hidden="1"/>
    <cellStyle name="Lien hypertexte visité" xfId="641" builtinId="9" hidden="1"/>
    <cellStyle name="Lien hypertexte visité" xfId="643" builtinId="9" hidden="1"/>
    <cellStyle name="Lien hypertexte visité" xfId="645" builtinId="9" hidden="1"/>
    <cellStyle name="Lien hypertexte visité" xfId="647" builtinId="9" hidden="1"/>
    <cellStyle name="Lien hypertexte visité" xfId="649" builtinId="9" hidden="1"/>
    <cellStyle name="Lien hypertexte visité" xfId="651" builtinId="9" hidden="1"/>
    <cellStyle name="Lien hypertexte visité" xfId="653" builtinId="9" hidden="1"/>
    <cellStyle name="Lien hypertexte visité" xfId="655" builtinId="9" hidden="1"/>
    <cellStyle name="Lien hypertexte visité" xfId="657" builtinId="9" hidden="1"/>
    <cellStyle name="Lien hypertexte visité" xfId="659" builtinId="9" hidden="1"/>
    <cellStyle name="Lien hypertexte visité" xfId="661" builtinId="9" hidden="1"/>
    <cellStyle name="Lien hypertexte visité" xfId="663" builtinId="9" hidden="1"/>
    <cellStyle name="Lien hypertexte visité" xfId="665" builtinId="9" hidden="1"/>
    <cellStyle name="Lien hypertexte visité" xfId="667" builtinId="9" hidden="1"/>
    <cellStyle name="Lien hypertexte visité" xfId="669" builtinId="9" hidden="1"/>
    <cellStyle name="Lien hypertexte visité" xfId="671" builtinId="9" hidden="1"/>
    <cellStyle name="Lien hypertexte visité" xfId="673" builtinId="9" hidden="1"/>
    <cellStyle name="Lien hypertexte visité" xfId="675" builtinId="9" hidden="1"/>
    <cellStyle name="Lien hypertexte visité" xfId="677" builtinId="9" hidden="1"/>
    <cellStyle name="Lien hypertexte visité" xfId="679" builtinId="9" hidden="1"/>
    <cellStyle name="Lien hypertexte visité" xfId="681" builtinId="9" hidden="1"/>
    <cellStyle name="Lien hypertexte visité" xfId="683" builtinId="9" hidden="1"/>
    <cellStyle name="Lien hypertexte visité" xfId="685" builtinId="9" hidden="1"/>
    <cellStyle name="Lien hypertexte visité" xfId="687" builtinId="9" hidden="1"/>
    <cellStyle name="Lien hypertexte visité" xfId="689" builtinId="9" hidden="1"/>
    <cellStyle name="Lien hypertexte visité" xfId="691" builtinId="9" hidden="1"/>
    <cellStyle name="Lien hypertexte visité" xfId="693" builtinId="9" hidden="1"/>
    <cellStyle name="Lien hypertexte visité" xfId="695" builtinId="9" hidden="1"/>
    <cellStyle name="Lien hypertexte visité" xfId="697" builtinId="9" hidden="1"/>
    <cellStyle name="Lien hypertexte visité" xfId="699" builtinId="9" hidden="1"/>
    <cellStyle name="Lien hypertexte visité" xfId="701" builtinId="9" hidden="1"/>
    <cellStyle name="Lien hypertexte visité" xfId="703" builtinId="9" hidden="1"/>
    <cellStyle name="Lien hypertexte visité" xfId="705" builtinId="9" hidden="1"/>
    <cellStyle name="Lien hypertexte visité" xfId="707" builtinId="9" hidden="1"/>
    <cellStyle name="Lien hypertexte visité" xfId="709" builtinId="9" hidden="1"/>
    <cellStyle name="Lien hypertexte visité" xfId="711" builtinId="9" hidden="1"/>
    <cellStyle name="Lien hypertexte visité" xfId="713" builtinId="9" hidden="1"/>
    <cellStyle name="Lien hypertexte visité" xfId="715" builtinId="9" hidden="1"/>
    <cellStyle name="Lien hypertexte visité" xfId="717" builtinId="9" hidden="1"/>
    <cellStyle name="Lien hypertexte visité" xfId="719" builtinId="9" hidden="1"/>
    <cellStyle name="Lien hypertexte visité" xfId="721" builtinId="9" hidden="1"/>
    <cellStyle name="Lien hypertexte visité" xfId="723" builtinId="9" hidden="1"/>
    <cellStyle name="Lien hypertexte visité" xfId="725" builtinId="9" hidden="1"/>
    <cellStyle name="Lien hypertexte visité" xfId="727" builtinId="9" hidden="1"/>
    <cellStyle name="Lien hypertexte visité" xfId="729" builtinId="9" hidden="1"/>
    <cellStyle name="Lien hypertexte visité" xfId="731" builtinId="9" hidden="1"/>
    <cellStyle name="Lien hypertexte visité" xfId="733" builtinId="9" hidden="1"/>
    <cellStyle name="Lien hypertexte visité" xfId="735" builtinId="9" hidden="1"/>
    <cellStyle name="Lien hypertexte visité" xfId="737" builtinId="9" hidden="1"/>
    <cellStyle name="Lien hypertexte visité" xfId="739" builtinId="9" hidden="1"/>
    <cellStyle name="Lien hypertexte visité" xfId="741" builtinId="9" hidden="1"/>
    <cellStyle name="Lien hypertexte visité" xfId="743" builtinId="9" hidden="1"/>
    <cellStyle name="Lien hypertexte visité" xfId="745" builtinId="9" hidden="1"/>
    <cellStyle name="Lien hypertexte visité" xfId="747" builtinId="9" hidden="1"/>
    <cellStyle name="Lien hypertexte visité" xfId="749" builtinId="9" hidden="1"/>
    <cellStyle name="Lien hypertexte visité" xfId="751" builtinId="9" hidden="1"/>
    <cellStyle name="Lien hypertexte visité" xfId="753" builtinId="9" hidden="1"/>
    <cellStyle name="Lien hypertexte visité" xfId="755" builtinId="9" hidden="1"/>
    <cellStyle name="Lien hypertexte visité" xfId="757" builtinId="9" hidden="1"/>
    <cellStyle name="Lien hypertexte visité" xfId="759" builtinId="9" hidden="1"/>
    <cellStyle name="Lien hypertexte visité" xfId="761" builtinId="9" hidden="1"/>
    <cellStyle name="Lien hypertexte visité" xfId="763" builtinId="9" hidden="1"/>
    <cellStyle name="Lien hypertexte visité" xfId="765" builtinId="9" hidden="1"/>
    <cellStyle name="Lien hypertexte visité" xfId="767" builtinId="9" hidden="1"/>
    <cellStyle name="Lien hypertexte visité" xfId="769" builtinId="9" hidden="1"/>
    <cellStyle name="Lien hypertexte visité" xfId="771" builtinId="9" hidden="1"/>
    <cellStyle name="Lien hypertexte visité" xfId="773" builtinId="9" hidden="1"/>
    <cellStyle name="Lien hypertexte visité" xfId="775" builtinId="9" hidden="1"/>
    <cellStyle name="Lien hypertexte visité" xfId="777" builtinId="9" hidden="1"/>
    <cellStyle name="Lien hypertexte visité" xfId="779" builtinId="9" hidden="1"/>
    <cellStyle name="Lien hypertexte visité" xfId="781" builtinId="9" hidden="1"/>
    <cellStyle name="Lien hypertexte visité" xfId="783" builtinId="9" hidden="1"/>
    <cellStyle name="Lien hypertexte visité" xfId="785" builtinId="9" hidden="1"/>
    <cellStyle name="Lien hypertexte visité" xfId="787" builtinId="9" hidden="1"/>
    <cellStyle name="Lien hypertexte visité" xfId="789" builtinId="9" hidden="1"/>
    <cellStyle name="Lien hypertexte visité" xfId="791" builtinId="9" hidden="1"/>
    <cellStyle name="Lien hypertexte visité" xfId="793" builtinId="9" hidden="1"/>
    <cellStyle name="Lien hypertexte visité" xfId="795" builtinId="9" hidden="1"/>
    <cellStyle name="Lien hypertexte visité" xfId="797" builtinId="9" hidden="1"/>
    <cellStyle name="Lien hypertexte visité" xfId="799" builtinId="9" hidden="1"/>
    <cellStyle name="Lien hypertexte visité" xfId="801" builtinId="9" hidden="1"/>
    <cellStyle name="Lien hypertexte visité" xfId="803" builtinId="9" hidden="1"/>
    <cellStyle name="Lien hypertexte visité" xfId="805" builtinId="9" hidden="1"/>
    <cellStyle name="Lien hypertexte visité" xfId="807" builtinId="9" hidden="1"/>
    <cellStyle name="Lien hypertexte visité" xfId="809" builtinId="9" hidden="1"/>
    <cellStyle name="Lien hypertexte visité" xfId="811" builtinId="9" hidden="1"/>
    <cellStyle name="Lien hypertexte visité" xfId="813" builtinId="9" hidden="1"/>
    <cellStyle name="Lien hypertexte visité" xfId="815" builtinId="9" hidden="1"/>
    <cellStyle name="Lien hypertexte visité" xfId="817" builtinId="9" hidden="1"/>
    <cellStyle name="Lien hypertexte visité" xfId="819" builtinId="9" hidden="1"/>
    <cellStyle name="Lien hypertexte visité" xfId="821" builtinId="9" hidden="1"/>
    <cellStyle name="Lien hypertexte visité" xfId="823" builtinId="9" hidden="1"/>
    <cellStyle name="Lien hypertexte visité" xfId="825" builtinId="9" hidden="1"/>
    <cellStyle name="Lien hypertexte visité" xfId="827" builtinId="9" hidden="1"/>
    <cellStyle name="Lien hypertexte visité" xfId="829" builtinId="9" hidden="1"/>
    <cellStyle name="Normal" xfId="0" builtinId="0"/>
    <cellStyle name="Normal 2" xfId="353"/>
  </cellStyles>
  <dxfs count="21"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D5B5"/>
      <rgbColor rgb="00DCE6F2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AC090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A9694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50800</xdr:rowOff>
    </xdr:from>
    <xdr:to>
      <xdr:col>1</xdr:col>
      <xdr:colOff>330200</xdr:colOff>
      <xdr:row>0</xdr:row>
      <xdr:rowOff>546100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0800"/>
          <a:ext cx="1320800" cy="4953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B4:R74"/>
  <sheetViews>
    <sheetView topLeftCell="A32" zoomScale="58" zoomScaleNormal="58" zoomScalePageLayoutView="90" workbookViewId="0">
      <selection activeCell="B74" sqref="B74:C74"/>
    </sheetView>
  </sheetViews>
  <sheetFormatPr baseColWidth="10" defaultColWidth="11.5546875" defaultRowHeight="14.4"/>
  <cols>
    <col min="2" max="2" width="24.6640625" customWidth="1"/>
    <col min="3" max="3" width="43.6640625" customWidth="1"/>
    <col min="5" max="5" width="11.5546875" style="1"/>
    <col min="18" max="18" width="11.5546875" style="250"/>
  </cols>
  <sheetData>
    <row r="4" spans="2:5" ht="21">
      <c r="C4" s="222" t="s">
        <v>239</v>
      </c>
    </row>
    <row r="6" spans="2:5" ht="18">
      <c r="B6" s="223" t="s">
        <v>199</v>
      </c>
      <c r="C6" s="223" t="s">
        <v>240</v>
      </c>
      <c r="D6" s="223" t="s">
        <v>226</v>
      </c>
      <c r="E6" s="223" t="s">
        <v>25</v>
      </c>
    </row>
    <row r="8" spans="2:5" ht="15" thickBot="1">
      <c r="B8" s="232" t="s">
        <v>216</v>
      </c>
      <c r="C8" s="232" t="s">
        <v>222</v>
      </c>
      <c r="D8" s="232"/>
      <c r="E8" s="233">
        <f>SUM(E9:E12)</f>
        <v>6</v>
      </c>
    </row>
    <row r="9" spans="2:5">
      <c r="B9" s="225"/>
      <c r="C9" s="226" t="s">
        <v>82</v>
      </c>
      <c r="D9" s="226" t="s">
        <v>114</v>
      </c>
      <c r="E9" s="229">
        <v>0</v>
      </c>
    </row>
    <row r="10" spans="2:5">
      <c r="B10" s="224"/>
      <c r="C10" s="103" t="s">
        <v>237</v>
      </c>
      <c r="D10" s="103" t="s">
        <v>232</v>
      </c>
      <c r="E10" s="230">
        <v>2</v>
      </c>
    </row>
    <row r="11" spans="2:5">
      <c r="B11" s="224"/>
      <c r="C11" s="103" t="s">
        <v>260</v>
      </c>
      <c r="D11" s="103" t="s">
        <v>229</v>
      </c>
      <c r="E11" s="230">
        <v>0</v>
      </c>
    </row>
    <row r="12" spans="2:5" ht="15" thickBot="1">
      <c r="B12" s="227"/>
      <c r="C12" s="228" t="s">
        <v>253</v>
      </c>
      <c r="D12" s="228" t="s">
        <v>233</v>
      </c>
      <c r="E12" s="231">
        <v>4</v>
      </c>
    </row>
    <row r="14" spans="2:5" ht="15" thickBot="1">
      <c r="B14" s="232" t="s">
        <v>439</v>
      </c>
      <c r="C14" s="232" t="s">
        <v>442</v>
      </c>
      <c r="D14" s="232"/>
      <c r="E14" s="233">
        <f>SUM(E15:E18)</f>
        <v>7</v>
      </c>
    </row>
    <row r="15" spans="2:5">
      <c r="B15" s="225"/>
      <c r="C15" s="226" t="s">
        <v>1</v>
      </c>
      <c r="D15" s="226" t="s">
        <v>2</v>
      </c>
      <c r="E15" s="229">
        <v>1</v>
      </c>
    </row>
    <row r="16" spans="2:5">
      <c r="B16" s="224"/>
      <c r="C16" s="103" t="s">
        <v>407</v>
      </c>
      <c r="D16" s="103" t="s">
        <v>406</v>
      </c>
      <c r="E16" s="230">
        <v>2</v>
      </c>
    </row>
    <row r="17" spans="2:5">
      <c r="B17" s="224"/>
      <c r="C17" s="103" t="s">
        <v>412</v>
      </c>
      <c r="D17" s="103" t="s">
        <v>404</v>
      </c>
      <c r="E17" s="230">
        <v>2</v>
      </c>
    </row>
    <row r="18" spans="2:5" ht="15" thickBot="1">
      <c r="B18" s="227"/>
      <c r="C18" s="228" t="s">
        <v>399</v>
      </c>
      <c r="D18" s="228" t="s">
        <v>122</v>
      </c>
      <c r="E18" s="231">
        <v>2</v>
      </c>
    </row>
    <row r="20" spans="2:5" ht="15" thickBot="1">
      <c r="B20" s="232" t="s">
        <v>200</v>
      </c>
      <c r="C20" s="232" t="s">
        <v>218</v>
      </c>
      <c r="D20" s="232"/>
      <c r="E20" s="233">
        <f>SUM(E21:E23)</f>
        <v>6</v>
      </c>
    </row>
    <row r="21" spans="2:5">
      <c r="B21" s="225"/>
      <c r="C21" s="226" t="s">
        <v>238</v>
      </c>
      <c r="D21" s="226" t="s">
        <v>109</v>
      </c>
      <c r="E21" s="229">
        <v>2</v>
      </c>
    </row>
    <row r="22" spans="2:5">
      <c r="B22" s="224"/>
      <c r="C22" s="103" t="s">
        <v>319</v>
      </c>
      <c r="D22" s="103" t="s">
        <v>362</v>
      </c>
      <c r="E22" s="230">
        <v>2</v>
      </c>
    </row>
    <row r="23" spans="2:5" ht="15" thickBot="1">
      <c r="B23" s="227"/>
      <c r="C23" s="228" t="s">
        <v>397</v>
      </c>
      <c r="D23" s="228" t="s">
        <v>214</v>
      </c>
      <c r="E23" s="231">
        <v>2</v>
      </c>
    </row>
    <row r="25" spans="2:5" ht="15" thickBot="1">
      <c r="B25" s="232" t="s">
        <v>430</v>
      </c>
      <c r="C25" s="232" t="s">
        <v>299</v>
      </c>
      <c r="D25" s="232"/>
      <c r="E25" s="233">
        <f>SUM(E26:E29)</f>
        <v>2</v>
      </c>
    </row>
    <row r="26" spans="2:5">
      <c r="B26" s="225"/>
      <c r="C26" s="226" t="s">
        <v>73</v>
      </c>
      <c r="D26" s="226" t="s">
        <v>81</v>
      </c>
      <c r="E26" s="229">
        <v>1</v>
      </c>
    </row>
    <row r="27" spans="2:5">
      <c r="B27" s="224"/>
      <c r="C27" s="103" t="s">
        <v>48</v>
      </c>
      <c r="D27" s="103" t="s">
        <v>265</v>
      </c>
      <c r="E27" s="230">
        <v>0</v>
      </c>
    </row>
    <row r="28" spans="2:5">
      <c r="B28" s="224"/>
      <c r="C28" s="103" t="s">
        <v>194</v>
      </c>
      <c r="D28" s="103" t="s">
        <v>115</v>
      </c>
      <c r="E28" s="230">
        <v>0</v>
      </c>
    </row>
    <row r="29" spans="2:5" ht="15" thickBot="1">
      <c r="B29" s="227"/>
      <c r="C29" s="228" t="s">
        <v>256</v>
      </c>
      <c r="D29" s="228" t="s">
        <v>258</v>
      </c>
      <c r="E29" s="231">
        <v>1</v>
      </c>
    </row>
    <row r="34" spans="2:5" ht="21">
      <c r="C34" s="222" t="s">
        <v>241</v>
      </c>
    </row>
    <row r="36" spans="2:5" ht="18">
      <c r="B36" s="223" t="s">
        <v>199</v>
      </c>
      <c r="C36" s="223" t="s">
        <v>240</v>
      </c>
      <c r="D36" s="223" t="s">
        <v>226</v>
      </c>
      <c r="E36" s="223" t="s">
        <v>25</v>
      </c>
    </row>
    <row r="38" spans="2:5" ht="15" thickBot="1">
      <c r="B38" s="232" t="s">
        <v>201</v>
      </c>
      <c r="C38" s="232" t="s">
        <v>220</v>
      </c>
      <c r="D38" s="232"/>
      <c r="E38" s="233">
        <f>SUM(E39:E42)</f>
        <v>7</v>
      </c>
    </row>
    <row r="39" spans="2:5">
      <c r="B39" s="225"/>
      <c r="C39" s="226" t="s">
        <v>436</v>
      </c>
      <c r="D39" s="226" t="s">
        <v>435</v>
      </c>
      <c r="E39" s="229">
        <v>1</v>
      </c>
    </row>
    <row r="40" spans="2:5">
      <c r="B40" s="224"/>
      <c r="C40" s="103" t="s">
        <v>437</v>
      </c>
      <c r="D40" s="103" t="s">
        <v>434</v>
      </c>
      <c r="E40" s="230">
        <v>2</v>
      </c>
    </row>
    <row r="41" spans="2:5">
      <c r="B41" s="224"/>
      <c r="C41" s="103" t="s">
        <v>398</v>
      </c>
      <c r="D41" s="103" t="s">
        <v>208</v>
      </c>
      <c r="E41" s="230">
        <v>2</v>
      </c>
    </row>
    <row r="42" spans="2:5" ht="15" thickBot="1">
      <c r="B42" s="227"/>
      <c r="C42" s="228" t="s">
        <v>205</v>
      </c>
      <c r="D42" s="228" t="s">
        <v>206</v>
      </c>
      <c r="E42" s="231">
        <v>2</v>
      </c>
    </row>
    <row r="44" spans="2:5" ht="15" thickBot="1">
      <c r="B44" s="232" t="s">
        <v>217</v>
      </c>
      <c r="C44" s="232" t="s">
        <v>223</v>
      </c>
      <c r="D44" s="232"/>
      <c r="E44" s="233">
        <f>SUM(E45:E48)</f>
        <v>11</v>
      </c>
    </row>
    <row r="45" spans="2:5">
      <c r="B45" s="225"/>
      <c r="C45" s="226" t="s">
        <v>261</v>
      </c>
      <c r="D45" s="226" t="s">
        <v>230</v>
      </c>
      <c r="E45" s="229">
        <v>0</v>
      </c>
    </row>
    <row r="46" spans="2:5">
      <c r="B46" s="224"/>
      <c r="C46" s="103" t="s">
        <v>254</v>
      </c>
      <c r="D46" s="103" t="s">
        <v>234</v>
      </c>
      <c r="E46" s="230">
        <v>6</v>
      </c>
    </row>
    <row r="47" spans="2:5">
      <c r="B47" s="224"/>
      <c r="C47" s="103" t="s">
        <v>262</v>
      </c>
      <c r="D47" s="103" t="s">
        <v>231</v>
      </c>
      <c r="E47" s="230">
        <v>0</v>
      </c>
    </row>
    <row r="48" spans="2:5" ht="15" thickBot="1">
      <c r="B48" s="227"/>
      <c r="C48" s="228" t="s">
        <v>235</v>
      </c>
      <c r="D48" s="228" t="s">
        <v>236</v>
      </c>
      <c r="E48" s="231">
        <v>5</v>
      </c>
    </row>
    <row r="50" spans="2:5" ht="15" thickBot="1">
      <c r="B50" s="232" t="s">
        <v>202</v>
      </c>
      <c r="C50" s="232" t="s">
        <v>219</v>
      </c>
      <c r="D50" s="232"/>
      <c r="E50" s="233">
        <f>SUM(E51:E53)</f>
        <v>6</v>
      </c>
    </row>
    <row r="51" spans="2:5">
      <c r="B51" s="225"/>
      <c r="C51" s="226" t="s">
        <v>330</v>
      </c>
      <c r="D51" s="226" t="s">
        <v>329</v>
      </c>
      <c r="E51" s="229">
        <v>2</v>
      </c>
    </row>
    <row r="52" spans="2:5">
      <c r="B52" s="224"/>
      <c r="C52" s="103" t="s">
        <v>196</v>
      </c>
      <c r="D52" s="103" t="s">
        <v>8</v>
      </c>
      <c r="E52" s="230">
        <v>2</v>
      </c>
    </row>
    <row r="53" spans="2:5" ht="15" thickBot="1">
      <c r="B53" s="227"/>
      <c r="C53" s="228" t="s">
        <v>197</v>
      </c>
      <c r="D53" s="228" t="s">
        <v>7</v>
      </c>
      <c r="E53" s="231">
        <v>2</v>
      </c>
    </row>
    <row r="55" spans="2:5" ht="15" thickBot="1">
      <c r="B55" s="232" t="s">
        <v>440</v>
      </c>
      <c r="C55" s="232" t="s">
        <v>441</v>
      </c>
      <c r="D55" s="232"/>
      <c r="E55" s="233">
        <f>SUM(E56:E59)</f>
        <v>7</v>
      </c>
    </row>
    <row r="56" spans="2:5">
      <c r="B56" s="225"/>
      <c r="C56" s="226" t="s">
        <v>195</v>
      </c>
      <c r="D56" s="226" t="s">
        <v>5</v>
      </c>
      <c r="E56" s="229">
        <v>2</v>
      </c>
    </row>
    <row r="57" spans="2:5">
      <c r="B57" s="224"/>
      <c r="C57" s="103" t="s">
        <v>409</v>
      </c>
      <c r="D57" s="103" t="s">
        <v>408</v>
      </c>
      <c r="E57" s="230">
        <v>2</v>
      </c>
    </row>
    <row r="58" spans="2:5">
      <c r="B58" s="224"/>
      <c r="C58" s="103" t="s">
        <v>414</v>
      </c>
      <c r="D58" s="103" t="s">
        <v>411</v>
      </c>
      <c r="E58" s="230">
        <v>2</v>
      </c>
    </row>
    <row r="59" spans="2:5" ht="15" thickBot="1">
      <c r="B59" s="227"/>
      <c r="C59" s="228" t="s">
        <v>413</v>
      </c>
      <c r="D59" s="228" t="s">
        <v>361</v>
      </c>
      <c r="E59" s="231">
        <v>1</v>
      </c>
    </row>
    <row r="61" spans="2:5" ht="15" thickBot="1">
      <c r="B61" s="232" t="s">
        <v>215</v>
      </c>
      <c r="C61" s="232" t="s">
        <v>221</v>
      </c>
      <c r="D61" s="232"/>
      <c r="E61" s="233">
        <f>SUM(E62:E67)</f>
        <v>8</v>
      </c>
    </row>
    <row r="62" spans="2:5">
      <c r="B62" s="225"/>
      <c r="C62" s="226" t="s">
        <v>194</v>
      </c>
      <c r="D62" s="226" t="s">
        <v>116</v>
      </c>
      <c r="E62" s="229">
        <v>2</v>
      </c>
    </row>
    <row r="63" spans="2:5">
      <c r="B63" s="224"/>
      <c r="C63" s="103" t="s">
        <v>403</v>
      </c>
      <c r="D63" s="103" t="s">
        <v>402</v>
      </c>
      <c r="E63" s="230">
        <v>1</v>
      </c>
    </row>
    <row r="64" spans="2:5">
      <c r="B64" s="224"/>
      <c r="C64" s="103" t="s">
        <v>257</v>
      </c>
      <c r="D64" s="103" t="s">
        <v>259</v>
      </c>
      <c r="E64" s="230">
        <v>0</v>
      </c>
    </row>
    <row r="65" spans="2:5">
      <c r="B65" s="224"/>
      <c r="C65" s="103" t="s">
        <v>49</v>
      </c>
      <c r="D65" s="103" t="s">
        <v>264</v>
      </c>
      <c r="E65" s="230">
        <v>0</v>
      </c>
    </row>
    <row r="66" spans="2:5">
      <c r="B66" s="224"/>
      <c r="C66" s="103" t="s">
        <v>257</v>
      </c>
      <c r="D66" s="103" t="s">
        <v>259</v>
      </c>
      <c r="E66" s="230">
        <v>3</v>
      </c>
    </row>
    <row r="67" spans="2:5" ht="15" thickBot="1">
      <c r="B67" s="227"/>
      <c r="C67" s="228" t="s">
        <v>49</v>
      </c>
      <c r="D67" s="228" t="s">
        <v>264</v>
      </c>
      <c r="E67" s="231">
        <v>2</v>
      </c>
    </row>
    <row r="72" spans="2:5" ht="18">
      <c r="B72" s="58" t="s">
        <v>242</v>
      </c>
      <c r="C72" s="58">
        <v>43</v>
      </c>
    </row>
    <row r="74" spans="2:5" ht="18">
      <c r="B74" s="58" t="s">
        <v>243</v>
      </c>
      <c r="C74" s="58">
        <v>17</v>
      </c>
    </row>
  </sheetData>
  <pageMargins left="0.7" right="0.7" top="0.75" bottom="0.75" header="0.3" footer="0.3"/>
  <pageSetup paperSize="9" scale="67" orientation="portrait" r:id="rId1"/>
  <headerFooter>
    <oddHeader>&amp;L3TCA-Promotion 2017-20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AD97"/>
  <sheetViews>
    <sheetView tabSelected="1" topLeftCell="A40" zoomScale="85" zoomScaleNormal="85" zoomScalePageLayoutView="80" workbookViewId="0">
      <selection activeCell="K55" sqref="K55"/>
    </sheetView>
  </sheetViews>
  <sheetFormatPr baseColWidth="10" defaultRowHeight="16.2" customHeight="1"/>
  <cols>
    <col min="1" max="1" width="49.44140625" customWidth="1"/>
    <col min="2" max="2" width="16" style="77" customWidth="1"/>
    <col min="3" max="3" width="5.5546875" style="80" customWidth="1"/>
    <col min="4" max="4" width="23.33203125" style="77" customWidth="1"/>
    <col min="5" max="5" width="19.33203125" style="77" customWidth="1"/>
    <col min="6" max="6" width="6.6640625" customWidth="1"/>
    <col min="7" max="7" width="5.6640625" style="1" customWidth="1"/>
    <col min="8" max="10" width="6.109375" style="1" customWidth="1"/>
    <col min="11" max="11" width="8" style="1" customWidth="1"/>
    <col min="12" max="12" width="12.33203125" style="95" customWidth="1"/>
    <col min="13" max="14" width="6.109375" style="1" customWidth="1"/>
    <col min="15" max="15" width="6.44140625" style="1" customWidth="1"/>
    <col min="16" max="16" width="6.6640625" style="1" customWidth="1"/>
    <col min="17" max="17" width="9" style="1" customWidth="1"/>
    <col min="18" max="18" width="6.109375" style="1" customWidth="1"/>
    <col min="19" max="19" width="34.33203125" style="250" customWidth="1"/>
    <col min="20" max="20" width="19.33203125" style="79" customWidth="1"/>
  </cols>
  <sheetData>
    <row r="1" spans="1:27" ht="22.2" customHeight="1">
      <c r="A1" s="135" t="s">
        <v>96</v>
      </c>
      <c r="B1" s="135"/>
      <c r="C1" s="187"/>
      <c r="D1" s="135"/>
      <c r="E1" s="135"/>
      <c r="F1" s="135"/>
      <c r="G1" s="135"/>
      <c r="H1" s="135"/>
      <c r="I1" s="136"/>
      <c r="J1" s="136"/>
      <c r="K1" s="136"/>
      <c r="L1" s="25"/>
      <c r="M1"/>
      <c r="N1"/>
      <c r="O1"/>
      <c r="P1"/>
      <c r="Q1"/>
      <c r="R1"/>
      <c r="S1" s="258"/>
      <c r="T1" s="1"/>
    </row>
    <row r="2" spans="1:27" ht="16.2" customHeight="1">
      <c r="A2" s="4"/>
      <c r="S2" s="258"/>
      <c r="T2" s="1"/>
    </row>
    <row r="3" spans="1:27" ht="16.2" customHeight="1">
      <c r="A3" s="137" t="s">
        <v>118</v>
      </c>
      <c r="B3" s="138"/>
      <c r="C3" s="188"/>
      <c r="D3" s="138"/>
      <c r="E3" s="138"/>
      <c r="F3" s="139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258"/>
      <c r="T3"/>
    </row>
    <row r="4" spans="1:27" s="248" customFormat="1" ht="16.2" customHeight="1">
      <c r="A4" s="242" t="s">
        <v>244</v>
      </c>
      <c r="B4" s="218">
        <v>4</v>
      </c>
      <c r="C4" s="245" t="s">
        <v>113</v>
      </c>
      <c r="D4" s="244" t="s">
        <v>113</v>
      </c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46"/>
      <c r="R4" s="247"/>
      <c r="S4" s="259"/>
      <c r="T4" s="97"/>
      <c r="U4" s="97" t="s">
        <v>25</v>
      </c>
      <c r="V4" s="97" t="s">
        <v>456</v>
      </c>
      <c r="W4" s="97"/>
      <c r="X4" s="22"/>
      <c r="Y4" s="22"/>
      <c r="Z4" s="22"/>
      <c r="AA4" s="22"/>
    </row>
    <row r="5" spans="1:27" s="22" customFormat="1" ht="33.6" customHeight="1">
      <c r="A5" s="141" t="s">
        <v>227</v>
      </c>
      <c r="B5" s="203" t="s">
        <v>226</v>
      </c>
      <c r="C5" s="189" t="s">
        <v>0</v>
      </c>
      <c r="D5" s="143" t="s">
        <v>18</v>
      </c>
      <c r="E5" s="203" t="s">
        <v>199</v>
      </c>
      <c r="F5" s="144" t="s">
        <v>22</v>
      </c>
      <c r="G5" s="144" t="s">
        <v>23</v>
      </c>
      <c r="H5" s="144" t="s">
        <v>24</v>
      </c>
      <c r="I5" s="144" t="s">
        <v>53</v>
      </c>
      <c r="J5" s="144"/>
      <c r="K5" s="144" t="s">
        <v>369</v>
      </c>
      <c r="L5" s="144" t="s">
        <v>25</v>
      </c>
      <c r="M5" s="144" t="s">
        <v>212</v>
      </c>
      <c r="N5" s="144" t="s">
        <v>211</v>
      </c>
      <c r="O5" s="144" t="s">
        <v>20</v>
      </c>
      <c r="P5" s="144" t="s">
        <v>21</v>
      </c>
      <c r="Q5" s="144" t="s">
        <v>207</v>
      </c>
      <c r="R5" s="145"/>
      <c r="S5" s="261" t="s">
        <v>84</v>
      </c>
      <c r="T5" s="97" t="s">
        <v>267</v>
      </c>
      <c r="U5" s="97">
        <v>17</v>
      </c>
      <c r="V5" s="97">
        <v>18</v>
      </c>
      <c r="W5" s="97"/>
    </row>
    <row r="6" spans="1:27" s="8" customFormat="1" ht="16.2" customHeight="1">
      <c r="A6" s="146" t="s">
        <v>82</v>
      </c>
      <c r="B6" s="142" t="s">
        <v>114</v>
      </c>
      <c r="C6" s="190" t="s">
        <v>304</v>
      </c>
      <c r="D6" s="183" t="s">
        <v>97</v>
      </c>
      <c r="E6" s="376" t="s">
        <v>216</v>
      </c>
      <c r="F6" s="144"/>
      <c r="G6" s="144"/>
      <c r="H6" s="144"/>
      <c r="I6" s="144">
        <v>6</v>
      </c>
      <c r="J6" s="144"/>
      <c r="K6" s="144"/>
      <c r="L6" s="150">
        <v>0</v>
      </c>
      <c r="M6" s="144"/>
      <c r="N6" s="144"/>
      <c r="O6" s="144"/>
      <c r="P6" s="144"/>
      <c r="Q6" s="144"/>
      <c r="R6" s="1">
        <f t="shared" ref="R6:R11" si="0">SUM(F6,G6,H6,I6,K6)</f>
        <v>6</v>
      </c>
      <c r="S6" s="259" t="s">
        <v>86</v>
      </c>
      <c r="T6" s="93"/>
      <c r="U6" s="93"/>
      <c r="V6" s="93"/>
      <c r="W6" s="93"/>
    </row>
    <row r="7" spans="1:27" ht="16.2" customHeight="1">
      <c r="A7" s="147" t="s">
        <v>1</v>
      </c>
      <c r="B7" s="148" t="s">
        <v>2</v>
      </c>
      <c r="C7" s="191" t="s">
        <v>89</v>
      </c>
      <c r="D7" s="183" t="s">
        <v>19</v>
      </c>
      <c r="E7" s="375" t="s">
        <v>439</v>
      </c>
      <c r="F7" s="149"/>
      <c r="G7" s="149">
        <v>0</v>
      </c>
      <c r="H7" s="149">
        <v>32</v>
      </c>
      <c r="I7" s="149"/>
      <c r="J7" s="149"/>
      <c r="K7" s="149"/>
      <c r="L7" s="150">
        <v>1</v>
      </c>
      <c r="M7" s="149"/>
      <c r="N7" s="149">
        <v>1</v>
      </c>
      <c r="O7" s="149" t="s">
        <v>111</v>
      </c>
      <c r="P7" s="149" t="s">
        <v>110</v>
      </c>
      <c r="Q7" s="149" t="s">
        <v>111</v>
      </c>
      <c r="R7" s="1">
        <f>SUM(F7,G7,H7,I7,K7)</f>
        <v>32</v>
      </c>
      <c r="S7" s="251"/>
      <c r="T7" s="1" t="s">
        <v>455</v>
      </c>
      <c r="U7" s="78">
        <v>33</v>
      </c>
      <c r="V7" s="1">
        <v>578</v>
      </c>
      <c r="W7" s="78"/>
      <c r="AA7" s="8"/>
    </row>
    <row r="8" spans="1:27" ht="16.2" customHeight="1">
      <c r="A8" s="151" t="s">
        <v>407</v>
      </c>
      <c r="B8" s="152" t="s">
        <v>406</v>
      </c>
      <c r="C8" s="191" t="s">
        <v>198</v>
      </c>
      <c r="D8" s="183" t="s">
        <v>19</v>
      </c>
      <c r="E8" s="239" t="s">
        <v>439</v>
      </c>
      <c r="F8" s="153">
        <v>10</v>
      </c>
      <c r="G8" s="153">
        <v>10</v>
      </c>
      <c r="H8" s="153">
        <v>12</v>
      </c>
      <c r="I8" s="149"/>
      <c r="J8" s="149"/>
      <c r="K8" s="149"/>
      <c r="L8" s="156">
        <v>2</v>
      </c>
      <c r="M8" s="149"/>
      <c r="N8" s="149">
        <v>2</v>
      </c>
      <c r="O8" s="149" t="s">
        <v>110</v>
      </c>
      <c r="P8" s="149" t="s">
        <v>110</v>
      </c>
      <c r="Q8" s="149" t="s">
        <v>110</v>
      </c>
      <c r="R8" s="1">
        <f>SUM(F8,G8,H8,I8,K8)</f>
        <v>32</v>
      </c>
      <c r="S8" s="251"/>
      <c r="T8" s="1"/>
      <c r="U8" s="1"/>
      <c r="V8" s="1"/>
      <c r="W8" s="1"/>
      <c r="AA8" s="8"/>
    </row>
    <row r="9" spans="1:27" ht="16.2" customHeight="1">
      <c r="A9" s="151" t="s">
        <v>238</v>
      </c>
      <c r="B9" s="152" t="s">
        <v>109</v>
      </c>
      <c r="C9" s="191" t="s">
        <v>304</v>
      </c>
      <c r="D9" s="183" t="s">
        <v>98</v>
      </c>
      <c r="E9" s="378" t="s">
        <v>200</v>
      </c>
      <c r="F9" s="153"/>
      <c r="G9" s="153">
        <v>26</v>
      </c>
      <c r="H9" s="153"/>
      <c r="I9" s="149"/>
      <c r="J9" s="149"/>
      <c r="K9" s="149"/>
      <c r="L9" s="150">
        <v>2</v>
      </c>
      <c r="M9" s="149"/>
      <c r="N9" s="149">
        <v>2</v>
      </c>
      <c r="O9" s="149" t="s">
        <v>111</v>
      </c>
      <c r="P9" s="149" t="s">
        <v>110</v>
      </c>
      <c r="Q9" s="149" t="s">
        <v>111</v>
      </c>
      <c r="R9" s="1">
        <f>SUM(F9,G9,H9,I9,K9)</f>
        <v>26</v>
      </c>
      <c r="S9" s="252"/>
      <c r="T9" s="1" t="s">
        <v>454</v>
      </c>
      <c r="U9" s="78">
        <v>10</v>
      </c>
      <c r="V9" s="78">
        <v>161</v>
      </c>
      <c r="W9" s="78"/>
      <c r="AA9" s="8"/>
    </row>
    <row r="10" spans="1:27" ht="16.2" customHeight="1">
      <c r="A10" s="151" t="s">
        <v>73</v>
      </c>
      <c r="B10" s="152" t="s">
        <v>81</v>
      </c>
      <c r="C10" s="191" t="s">
        <v>4</v>
      </c>
      <c r="D10" s="183" t="s">
        <v>97</v>
      </c>
      <c r="E10" s="413" t="s">
        <v>430</v>
      </c>
      <c r="F10" s="153">
        <v>8</v>
      </c>
      <c r="G10" s="153">
        <v>8</v>
      </c>
      <c r="H10" s="3"/>
      <c r="I10" s="3"/>
      <c r="J10" s="149"/>
      <c r="K10" s="149"/>
      <c r="L10" s="156">
        <v>1</v>
      </c>
      <c r="M10" s="149"/>
      <c r="N10" s="149"/>
      <c r="O10" s="149"/>
      <c r="P10" s="149"/>
      <c r="Q10" s="149"/>
      <c r="R10" s="1">
        <f t="shared" si="0"/>
        <v>16</v>
      </c>
      <c r="S10" s="253"/>
      <c r="T10" s="1"/>
      <c r="U10" s="1"/>
      <c r="V10" s="1"/>
      <c r="W10" s="1"/>
      <c r="AA10" s="8"/>
    </row>
    <row r="11" spans="1:27" ht="16.2" customHeight="1">
      <c r="A11" s="159" t="s">
        <v>48</v>
      </c>
      <c r="B11" s="148" t="s">
        <v>468</v>
      </c>
      <c r="C11" s="192" t="s">
        <v>210</v>
      </c>
      <c r="D11" s="183" t="s">
        <v>97</v>
      </c>
      <c r="E11" s="413" t="s">
        <v>430</v>
      </c>
      <c r="F11" s="149"/>
      <c r="G11" s="153">
        <v>6</v>
      </c>
      <c r="H11" s="149"/>
      <c r="I11" s="149"/>
      <c r="J11" s="149"/>
      <c r="K11" s="149"/>
      <c r="L11" s="156">
        <v>0</v>
      </c>
      <c r="M11" s="149"/>
      <c r="N11" s="149"/>
      <c r="O11" s="149"/>
      <c r="P11" s="149"/>
      <c r="Q11" s="149"/>
      <c r="R11" s="1">
        <f t="shared" si="0"/>
        <v>6</v>
      </c>
      <c r="S11" s="251" t="s">
        <v>331</v>
      </c>
      <c r="T11" s="1" t="s">
        <v>457</v>
      </c>
      <c r="U11" s="1">
        <v>4</v>
      </c>
      <c r="V11" s="1">
        <v>50</v>
      </c>
      <c r="W11" s="1"/>
      <c r="AA11" s="8"/>
    </row>
    <row r="12" spans="1:27" s="76" customFormat="1" ht="16.2" customHeight="1">
      <c r="A12" s="160"/>
      <c r="B12" s="161" t="s">
        <v>108</v>
      </c>
      <c r="C12" s="193"/>
      <c r="D12" s="161"/>
      <c r="E12" s="74">
        <f>SUM(F12:K12)</f>
        <v>118</v>
      </c>
      <c r="F12" s="162">
        <f t="shared" ref="F12:N12" si="1">SUM(F6:F11)</f>
        <v>18</v>
      </c>
      <c r="G12" s="162">
        <f t="shared" si="1"/>
        <v>50</v>
      </c>
      <c r="H12" s="162">
        <f t="shared" si="1"/>
        <v>44</v>
      </c>
      <c r="I12" s="162">
        <f t="shared" si="1"/>
        <v>6</v>
      </c>
      <c r="J12" s="162"/>
      <c r="K12" s="162">
        <f t="shared" si="1"/>
        <v>0</v>
      </c>
      <c r="L12" s="162">
        <f t="shared" si="1"/>
        <v>6</v>
      </c>
      <c r="M12" s="162">
        <f t="shared" si="1"/>
        <v>0</v>
      </c>
      <c r="N12" s="162">
        <f t="shared" si="1"/>
        <v>5</v>
      </c>
      <c r="O12" s="162"/>
      <c r="P12" s="162"/>
      <c r="Q12" s="162"/>
      <c r="R12" s="163">
        <f>SUM(R6:R11)</f>
        <v>118</v>
      </c>
      <c r="S12" s="254"/>
      <c r="T12" s="76" t="s">
        <v>458</v>
      </c>
      <c r="U12" s="76">
        <v>2</v>
      </c>
      <c r="V12" s="76">
        <v>32</v>
      </c>
    </row>
    <row r="13" spans="1:27" s="76" customFormat="1" ht="16.2" customHeight="1">
      <c r="A13" s="75"/>
      <c r="B13" s="164"/>
      <c r="C13" s="106"/>
      <c r="D13" s="164">
        <f>(B4*9)*3</f>
        <v>108</v>
      </c>
      <c r="E13" s="164">
        <f>35*B4</f>
        <v>140</v>
      </c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254"/>
      <c r="T13" s="76" t="s">
        <v>459</v>
      </c>
      <c r="U13" s="76">
        <v>4</v>
      </c>
      <c r="V13" s="76">
        <v>79</v>
      </c>
    </row>
    <row r="14" spans="1:27" s="212" customFormat="1" ht="16.2" customHeight="1">
      <c r="A14" s="243" t="s">
        <v>248</v>
      </c>
      <c r="B14" s="249">
        <v>4</v>
      </c>
      <c r="C14" s="213" t="s">
        <v>113</v>
      </c>
      <c r="D14" s="213" t="s">
        <v>113</v>
      </c>
      <c r="E14" s="213"/>
      <c r="F14" s="213"/>
      <c r="G14" s="213"/>
      <c r="H14" s="213"/>
      <c r="I14" s="213"/>
      <c r="J14" s="213"/>
      <c r="K14" s="213"/>
      <c r="L14" s="214"/>
      <c r="M14" s="213"/>
      <c r="N14" s="213"/>
      <c r="O14" s="213"/>
      <c r="P14" s="213"/>
      <c r="Q14" s="213"/>
      <c r="R14" s="213"/>
      <c r="S14" s="255"/>
    </row>
    <row r="15" spans="1:27" ht="16.2" customHeight="1">
      <c r="A15" s="21" t="s">
        <v>237</v>
      </c>
      <c r="B15" s="165" t="s">
        <v>232</v>
      </c>
      <c r="C15" s="194"/>
      <c r="D15" s="184" t="s">
        <v>100</v>
      </c>
      <c r="E15" s="241" t="s">
        <v>216</v>
      </c>
      <c r="F15" s="3"/>
      <c r="G15" s="158"/>
      <c r="H15" s="157"/>
      <c r="I15" s="157"/>
      <c r="J15" s="157"/>
      <c r="K15" s="157"/>
      <c r="L15" s="56">
        <v>2</v>
      </c>
      <c r="M15" s="157"/>
      <c r="N15" s="157"/>
      <c r="O15" s="166"/>
      <c r="P15" s="166"/>
      <c r="Q15" s="166" t="s">
        <v>111</v>
      </c>
      <c r="S15" s="253"/>
      <c r="T15"/>
    </row>
    <row r="16" spans="1:27" ht="16.2" customHeight="1">
      <c r="A16" s="18"/>
      <c r="B16" s="167"/>
      <c r="C16" s="195"/>
      <c r="D16" s="81"/>
      <c r="E16" s="182"/>
      <c r="F16" s="25"/>
      <c r="G16" s="25"/>
      <c r="H16" s="25"/>
      <c r="I16" s="25"/>
      <c r="J16" s="25"/>
      <c r="K16" s="25"/>
      <c r="L16" s="25"/>
      <c r="M16" s="25"/>
      <c r="N16" s="25"/>
      <c r="O16" s="86"/>
      <c r="P16" s="86"/>
      <c r="Q16" s="86"/>
      <c r="R16" s="25"/>
      <c r="S16" s="251"/>
      <c r="T16"/>
    </row>
    <row r="17" spans="1:30" s="8" customFormat="1" ht="16.2" customHeight="1">
      <c r="A17" s="242" t="s">
        <v>245</v>
      </c>
      <c r="B17" s="218">
        <v>7</v>
      </c>
      <c r="C17" s="216" t="s">
        <v>113</v>
      </c>
      <c r="D17" s="215" t="s">
        <v>113</v>
      </c>
      <c r="E17" s="215"/>
      <c r="F17" s="217"/>
      <c r="G17" s="217"/>
      <c r="H17" s="217"/>
      <c r="I17" s="217"/>
      <c r="J17" s="217"/>
      <c r="K17" s="217"/>
      <c r="L17" s="218"/>
      <c r="M17" s="217"/>
      <c r="N17" s="217"/>
      <c r="O17" s="221"/>
      <c r="P17" s="217"/>
      <c r="Q17" s="219"/>
      <c r="R17" s="220"/>
      <c r="S17" s="259"/>
    </row>
    <row r="18" spans="1:30" s="8" customFormat="1" ht="46.95" customHeight="1">
      <c r="A18" s="141" t="s">
        <v>227</v>
      </c>
      <c r="B18" s="203" t="s">
        <v>226</v>
      </c>
      <c r="C18" s="189" t="s">
        <v>0</v>
      </c>
      <c r="D18" s="143" t="s">
        <v>18</v>
      </c>
      <c r="E18" s="143"/>
      <c r="F18" s="144" t="s">
        <v>22</v>
      </c>
      <c r="G18" s="144" t="s">
        <v>23</v>
      </c>
      <c r="H18" s="144" t="s">
        <v>24</v>
      </c>
      <c r="I18" s="144" t="s">
        <v>53</v>
      </c>
      <c r="J18" s="144"/>
      <c r="K18" s="144" t="s">
        <v>369</v>
      </c>
      <c r="L18" s="144" t="s">
        <v>25</v>
      </c>
      <c r="M18" s="144" t="str">
        <f>M5</f>
        <v>dont Eval CC</v>
      </c>
      <c r="N18" s="144" t="str">
        <f>N5</f>
        <v>dont Eval DS</v>
      </c>
      <c r="O18" s="144" t="s">
        <v>20</v>
      </c>
      <c r="P18" s="144" t="s">
        <v>21</v>
      </c>
      <c r="Q18" s="144" t="str">
        <f>Q5</f>
        <v>Rattrapable</v>
      </c>
      <c r="R18" s="145"/>
      <c r="S18" s="261" t="s">
        <v>84</v>
      </c>
      <c r="T18" s="436"/>
      <c r="U18" s="436"/>
      <c r="V18" s="436"/>
      <c r="W18" s="436"/>
    </row>
    <row r="19" spans="1:30" ht="16.2" customHeight="1">
      <c r="A19" s="387" t="s">
        <v>60</v>
      </c>
      <c r="B19" s="203"/>
      <c r="C19" s="189"/>
      <c r="D19" s="143"/>
      <c r="E19" s="143"/>
      <c r="F19" s="144"/>
      <c r="G19" s="144"/>
      <c r="H19" s="144"/>
      <c r="I19" s="144">
        <v>8</v>
      </c>
      <c r="J19" s="144"/>
      <c r="K19" s="144"/>
      <c r="L19" s="144"/>
      <c r="M19" s="144"/>
      <c r="N19" s="144"/>
      <c r="O19" s="144"/>
      <c r="P19" s="144"/>
      <c r="Q19" s="144"/>
      <c r="R19" s="145"/>
      <c r="S19" s="250" t="s">
        <v>367</v>
      </c>
      <c r="T19" s="103"/>
      <c r="U19" s="103"/>
      <c r="V19" s="103"/>
      <c r="W19" s="103"/>
      <c r="AA19" s="8"/>
    </row>
    <row r="20" spans="1:30" ht="16.2" customHeight="1">
      <c r="A20" s="154" t="s">
        <v>260</v>
      </c>
      <c r="B20" s="152" t="s">
        <v>229</v>
      </c>
      <c r="C20" s="191" t="s">
        <v>304</v>
      </c>
      <c r="D20" s="183" t="s">
        <v>97</v>
      </c>
      <c r="E20" s="241" t="s">
        <v>216</v>
      </c>
      <c r="F20" s="153"/>
      <c r="G20" s="149">
        <v>4</v>
      </c>
      <c r="H20" s="153"/>
      <c r="I20" s="3"/>
      <c r="J20" s="149"/>
      <c r="K20" s="149"/>
      <c r="L20" s="156">
        <v>0</v>
      </c>
      <c r="M20" s="149"/>
      <c r="N20" s="149"/>
      <c r="O20" s="149"/>
      <c r="P20" s="149"/>
      <c r="Q20" s="149"/>
      <c r="R20" s="1">
        <f>SUM(F20,H20,G20,K20)</f>
        <v>4</v>
      </c>
      <c r="S20" s="262" t="s">
        <v>263</v>
      </c>
      <c r="T20" s="437"/>
      <c r="U20" s="437"/>
      <c r="V20" s="438"/>
      <c r="W20" s="103"/>
      <c r="AA20" s="8"/>
    </row>
    <row r="21" spans="1:30" ht="16.2" customHeight="1">
      <c r="A21" s="154" t="s">
        <v>412</v>
      </c>
      <c r="B21" s="155" t="s">
        <v>404</v>
      </c>
      <c r="C21" s="168" t="s">
        <v>405</v>
      </c>
      <c r="D21" s="183" t="s">
        <v>19</v>
      </c>
      <c r="E21" s="239" t="s">
        <v>439</v>
      </c>
      <c r="F21" s="153">
        <v>20</v>
      </c>
      <c r="G21" s="153">
        <v>14</v>
      </c>
      <c r="H21" s="153">
        <v>0</v>
      </c>
      <c r="I21" s="149"/>
      <c r="J21" s="149"/>
      <c r="K21" s="149"/>
      <c r="L21" s="156">
        <v>2</v>
      </c>
      <c r="M21" s="149"/>
      <c r="N21" s="149">
        <v>2</v>
      </c>
      <c r="O21" s="149" t="s">
        <v>110</v>
      </c>
      <c r="P21" s="149" t="s">
        <v>110</v>
      </c>
      <c r="Q21" s="149" t="s">
        <v>110</v>
      </c>
      <c r="R21" s="1">
        <f>SUM(F21,G21,H21,I21,K21)</f>
        <v>34</v>
      </c>
      <c r="S21" s="253" t="e">
        <f>#REF!+#REF!</f>
        <v>#REF!</v>
      </c>
      <c r="T21" s="1"/>
      <c r="V21" s="437"/>
      <c r="W21" s="437"/>
      <c r="X21" s="437"/>
      <c r="Y21" s="438"/>
      <c r="Z21" s="103"/>
      <c r="AD21" s="8"/>
    </row>
    <row r="22" spans="1:30" ht="16.2" customHeight="1">
      <c r="A22" s="151" t="s">
        <v>399</v>
      </c>
      <c r="B22" s="152" t="s">
        <v>122</v>
      </c>
      <c r="C22" s="191" t="s">
        <v>121</v>
      </c>
      <c r="D22" s="183" t="s">
        <v>19</v>
      </c>
      <c r="E22" s="239" t="s">
        <v>439</v>
      </c>
      <c r="F22" s="153">
        <v>2</v>
      </c>
      <c r="G22" s="153">
        <v>32</v>
      </c>
      <c r="H22" s="153">
        <v>0</v>
      </c>
      <c r="I22" s="149"/>
      <c r="J22" s="149"/>
      <c r="K22" s="149"/>
      <c r="L22" s="156">
        <v>2</v>
      </c>
      <c r="M22" s="149"/>
      <c r="N22" s="149">
        <v>2</v>
      </c>
      <c r="O22" s="149" t="s">
        <v>110</v>
      </c>
      <c r="P22" s="149" t="s">
        <v>110</v>
      </c>
      <c r="Q22" s="149" t="s">
        <v>110</v>
      </c>
      <c r="R22" s="1">
        <f>SUM(F22,G22,H22,I22,K22)</f>
        <v>34</v>
      </c>
      <c r="S22" s="251"/>
      <c r="T22" s="1"/>
      <c r="V22" s="103"/>
      <c r="W22" s="103"/>
      <c r="X22" s="103"/>
      <c r="Y22" s="103"/>
      <c r="Z22" s="103"/>
      <c r="AD22" s="8"/>
    </row>
    <row r="23" spans="1:30" ht="16.2" customHeight="1">
      <c r="A23" s="159" t="s">
        <v>436</v>
      </c>
      <c r="B23" s="148" t="s">
        <v>435</v>
      </c>
      <c r="C23" s="192" t="s">
        <v>15</v>
      </c>
      <c r="D23" s="183" t="s">
        <v>99</v>
      </c>
      <c r="E23" s="204" t="s">
        <v>201</v>
      </c>
      <c r="F23" s="149">
        <v>10</v>
      </c>
      <c r="G23" s="149">
        <v>9</v>
      </c>
      <c r="H23" s="149">
        <v>0</v>
      </c>
      <c r="I23" s="149"/>
      <c r="J23" s="149"/>
      <c r="K23" s="149"/>
      <c r="L23" s="156">
        <v>1</v>
      </c>
      <c r="M23" s="149"/>
      <c r="N23" s="149">
        <v>2</v>
      </c>
      <c r="O23" s="149" t="s">
        <v>110</v>
      </c>
      <c r="P23" s="149" t="s">
        <v>110</v>
      </c>
      <c r="Q23" s="149" t="s">
        <v>110</v>
      </c>
      <c r="R23" s="1">
        <f>SUM(F23,G23,H23,I23,K23)</f>
        <v>19</v>
      </c>
      <c r="S23" s="253" t="s">
        <v>438</v>
      </c>
      <c r="T23" s="1"/>
      <c r="V23" s="103"/>
      <c r="W23" s="103"/>
      <c r="X23" s="103"/>
      <c r="Y23" s="103"/>
      <c r="Z23" s="103"/>
      <c r="AD23" s="8"/>
    </row>
    <row r="24" spans="1:30" ht="16.2" customHeight="1">
      <c r="A24" s="154" t="s">
        <v>319</v>
      </c>
      <c r="B24" s="152" t="s">
        <v>362</v>
      </c>
      <c r="C24" s="191" t="s">
        <v>318</v>
      </c>
      <c r="D24" s="183" t="s">
        <v>98</v>
      </c>
      <c r="E24" s="240" t="s">
        <v>200</v>
      </c>
      <c r="F24" s="153">
        <v>12</v>
      </c>
      <c r="G24" s="153">
        <v>14</v>
      </c>
      <c r="H24" s="153"/>
      <c r="I24" s="153"/>
      <c r="J24" s="153"/>
      <c r="K24" s="153"/>
      <c r="L24" s="150">
        <v>2</v>
      </c>
      <c r="M24" s="153"/>
      <c r="N24" s="153">
        <v>2</v>
      </c>
      <c r="O24" s="153" t="s">
        <v>110</v>
      </c>
      <c r="P24" s="153" t="s">
        <v>110</v>
      </c>
      <c r="Q24" s="153" t="s">
        <v>110</v>
      </c>
      <c r="R24" s="1">
        <f t="shared" ref="R24:R27" si="2">SUM(F24,G24,H24,I24,K24)</f>
        <v>26</v>
      </c>
      <c r="S24" s="253"/>
      <c r="T24" s="1"/>
      <c r="V24" s="103"/>
      <c r="W24" s="103"/>
      <c r="X24" s="103"/>
      <c r="Y24" s="103"/>
      <c r="Z24" s="103"/>
      <c r="AD24" s="8"/>
    </row>
    <row r="25" spans="1:30" ht="16.2" customHeight="1">
      <c r="A25" s="154" t="s">
        <v>397</v>
      </c>
      <c r="B25" s="152" t="s">
        <v>214</v>
      </c>
      <c r="C25" s="191" t="s">
        <v>9</v>
      </c>
      <c r="D25" s="183" t="s">
        <v>98</v>
      </c>
      <c r="E25" s="240" t="s">
        <v>200</v>
      </c>
      <c r="F25" s="153">
        <v>16</v>
      </c>
      <c r="G25" s="153">
        <v>19</v>
      </c>
      <c r="H25" s="153"/>
      <c r="I25" s="149"/>
      <c r="J25" s="149"/>
      <c r="K25" s="149"/>
      <c r="L25" s="156">
        <v>2</v>
      </c>
      <c r="M25" s="149">
        <v>1</v>
      </c>
      <c r="N25" s="149">
        <v>2</v>
      </c>
      <c r="O25" s="149" t="s">
        <v>110</v>
      </c>
      <c r="P25" s="149" t="s">
        <v>110</v>
      </c>
      <c r="Q25" s="149" t="s">
        <v>110</v>
      </c>
      <c r="R25" s="1">
        <f t="shared" si="2"/>
        <v>35</v>
      </c>
      <c r="T25" s="1"/>
      <c r="V25" s="103"/>
      <c r="W25" s="103"/>
      <c r="X25" s="103"/>
      <c r="Y25" s="103"/>
      <c r="Z25" s="103"/>
      <c r="AD25" s="8"/>
    </row>
    <row r="26" spans="1:30" ht="16.2" customHeight="1">
      <c r="A26" s="399" t="s">
        <v>194</v>
      </c>
      <c r="B26" s="148" t="s">
        <v>115</v>
      </c>
      <c r="C26" s="192" t="s">
        <v>4</v>
      </c>
      <c r="D26" s="183" t="s">
        <v>97</v>
      </c>
      <c r="E26" s="413" t="s">
        <v>430</v>
      </c>
      <c r="F26" s="149">
        <v>10</v>
      </c>
      <c r="G26" s="153">
        <v>6</v>
      </c>
      <c r="H26" s="149">
        <v>6</v>
      </c>
      <c r="I26" s="149"/>
      <c r="J26" s="149"/>
      <c r="K26" s="149"/>
      <c r="L26" s="156">
        <v>0</v>
      </c>
      <c r="M26" s="149"/>
      <c r="N26" s="149"/>
      <c r="O26" s="149" t="s">
        <v>110</v>
      </c>
      <c r="P26" s="149" t="s">
        <v>111</v>
      </c>
      <c r="Q26" s="149"/>
      <c r="R26" s="1">
        <f t="shared" si="2"/>
        <v>22</v>
      </c>
      <c r="S26" s="253" t="s">
        <v>368</v>
      </c>
      <c r="T26" s="1"/>
      <c r="V26" s="103"/>
      <c r="W26" s="103"/>
      <c r="X26" s="103"/>
      <c r="Y26" s="103"/>
      <c r="Z26" s="103"/>
      <c r="AD26" s="8"/>
    </row>
    <row r="27" spans="1:30" s="1" customFormat="1" ht="16.2" customHeight="1">
      <c r="A27" s="400" t="s">
        <v>256</v>
      </c>
      <c r="B27" s="148" t="s">
        <v>258</v>
      </c>
      <c r="C27" s="192" t="s">
        <v>26</v>
      </c>
      <c r="D27" s="183" t="s">
        <v>97</v>
      </c>
      <c r="E27" s="413" t="s">
        <v>430</v>
      </c>
      <c r="F27" s="149"/>
      <c r="G27" s="153">
        <v>14</v>
      </c>
      <c r="H27" s="149"/>
      <c r="I27" s="149"/>
      <c r="J27" s="149"/>
      <c r="K27" s="149"/>
      <c r="L27" s="156">
        <v>1</v>
      </c>
      <c r="M27" s="149"/>
      <c r="N27" s="149"/>
      <c r="O27" s="149" t="s">
        <v>110</v>
      </c>
      <c r="P27" s="149" t="s">
        <v>110</v>
      </c>
      <c r="Q27" s="149"/>
      <c r="R27" s="1">
        <f t="shared" si="2"/>
        <v>14</v>
      </c>
      <c r="S27" s="256"/>
      <c r="V27" s="100"/>
      <c r="W27" s="100"/>
      <c r="X27" s="100"/>
      <c r="Y27" s="100"/>
      <c r="Z27" s="100"/>
    </row>
    <row r="28" spans="1:30" s="1" customFormat="1" ht="16.2" customHeight="1">
      <c r="A28" s="169"/>
      <c r="B28" s="170" t="s">
        <v>107</v>
      </c>
      <c r="C28" s="196"/>
      <c r="D28" s="170"/>
      <c r="E28" s="74">
        <f>SUM(F28:K28)</f>
        <v>196</v>
      </c>
      <c r="F28" s="156">
        <f t="shared" ref="F28:O28" si="3">SUM(F19:F27)</f>
        <v>70</v>
      </c>
      <c r="G28" s="156">
        <f t="shared" si="3"/>
        <v>112</v>
      </c>
      <c r="H28" s="156">
        <f t="shared" si="3"/>
        <v>6</v>
      </c>
      <c r="I28" s="156">
        <f t="shared" si="3"/>
        <v>8</v>
      </c>
      <c r="J28" s="156"/>
      <c r="K28" s="156">
        <f t="shared" si="3"/>
        <v>0</v>
      </c>
      <c r="L28" s="156">
        <f t="shared" si="3"/>
        <v>10</v>
      </c>
      <c r="M28" s="156">
        <f t="shared" si="3"/>
        <v>1</v>
      </c>
      <c r="N28" s="156">
        <f t="shared" si="3"/>
        <v>10</v>
      </c>
      <c r="O28" s="156">
        <f t="shared" si="3"/>
        <v>0</v>
      </c>
      <c r="P28" s="156"/>
      <c r="Q28" s="156"/>
      <c r="R28" s="163">
        <f>SUM(R20:R27)</f>
        <v>188</v>
      </c>
      <c r="S28" s="256"/>
      <c r="V28" s="100"/>
      <c r="W28" s="100"/>
      <c r="X28" s="100"/>
      <c r="Y28" s="100"/>
      <c r="Z28" s="100"/>
    </row>
    <row r="29" spans="1:30" s="212" customFormat="1" ht="16.2" customHeight="1">
      <c r="A29" s="78"/>
      <c r="B29" s="167"/>
      <c r="C29" s="195"/>
      <c r="D29" s="164">
        <f>(B17*9)*3</f>
        <v>189</v>
      </c>
      <c r="E29" s="164">
        <f>35*B17</f>
        <v>245</v>
      </c>
      <c r="F29" s="95"/>
      <c r="G29" s="95"/>
      <c r="H29" s="95"/>
      <c r="I29" s="95"/>
      <c r="J29" s="95"/>
      <c r="K29" s="95"/>
      <c r="L29" s="95"/>
      <c r="M29" s="95"/>
      <c r="N29" s="171"/>
      <c r="O29" s="163"/>
      <c r="P29" s="163"/>
      <c r="Q29" s="163"/>
      <c r="R29" s="95"/>
      <c r="S29" s="255"/>
      <c r="T29" s="211"/>
      <c r="V29" s="439"/>
      <c r="W29" s="439"/>
      <c r="X29" s="439"/>
      <c r="Y29" s="439"/>
      <c r="Z29" s="439"/>
    </row>
    <row r="30" spans="1:30" ht="16.2" customHeight="1">
      <c r="A30" s="243" t="s">
        <v>249</v>
      </c>
      <c r="B30" s="249">
        <v>6</v>
      </c>
      <c r="C30" s="213" t="s">
        <v>113</v>
      </c>
      <c r="D30" s="213" t="s">
        <v>113</v>
      </c>
      <c r="E30" s="213"/>
      <c r="F30" s="213"/>
      <c r="G30" s="213"/>
      <c r="H30" s="213"/>
      <c r="I30" s="213"/>
      <c r="J30" s="213"/>
      <c r="K30" s="213"/>
      <c r="L30" s="214"/>
      <c r="M30" s="213"/>
      <c r="N30" s="213"/>
      <c r="O30" s="213"/>
      <c r="P30" s="213"/>
      <c r="Q30" s="213"/>
      <c r="R30" s="213"/>
      <c r="S30" s="253"/>
      <c r="T30" s="78"/>
      <c r="V30" s="103"/>
      <c r="W30" s="103"/>
      <c r="X30" s="103"/>
      <c r="Y30" s="103"/>
      <c r="Z30" s="103"/>
    </row>
    <row r="31" spans="1:30" ht="16.2" customHeight="1">
      <c r="A31" s="21" t="s">
        <v>253</v>
      </c>
      <c r="B31" s="165" t="s">
        <v>233</v>
      </c>
      <c r="C31" s="194"/>
      <c r="D31" s="184" t="s">
        <v>100</v>
      </c>
      <c r="E31" s="241" t="s">
        <v>216</v>
      </c>
      <c r="F31" s="3"/>
      <c r="G31" s="158"/>
      <c r="H31" s="157"/>
      <c r="I31" s="157"/>
      <c r="J31" s="157"/>
      <c r="K31" s="157"/>
      <c r="L31" s="56">
        <v>4</v>
      </c>
      <c r="M31" s="157"/>
      <c r="N31" s="157"/>
      <c r="O31" s="157"/>
      <c r="P31" s="157"/>
      <c r="Q31" s="157" t="s">
        <v>111</v>
      </c>
      <c r="S31" s="251"/>
      <c r="T31" s="1"/>
      <c r="V31" s="103"/>
      <c r="W31" s="103"/>
      <c r="X31" s="103"/>
      <c r="Y31" s="103"/>
      <c r="Z31" s="103"/>
    </row>
    <row r="32" spans="1:30" s="8" customFormat="1" ht="16.2" customHeight="1">
      <c r="A32" s="18"/>
      <c r="B32" s="167"/>
      <c r="C32" s="195"/>
      <c r="D32" s="81"/>
      <c r="E32" s="182"/>
      <c r="F32" s="25"/>
      <c r="G32" s="25"/>
      <c r="H32" s="25"/>
      <c r="I32" s="25"/>
      <c r="J32" s="25"/>
      <c r="K32" s="25"/>
      <c r="L32" s="25"/>
      <c r="M32" s="25"/>
      <c r="N32" s="163"/>
      <c r="O32" s="163"/>
      <c r="P32" s="163"/>
      <c r="Q32" s="163"/>
      <c r="R32" s="25"/>
      <c r="S32" s="259"/>
      <c r="T32" s="93"/>
      <c r="V32" s="436"/>
      <c r="W32" s="436"/>
      <c r="X32" s="436"/>
      <c r="Y32" s="436"/>
      <c r="Z32" s="436"/>
    </row>
    <row r="33" spans="1:30" s="8" customFormat="1" ht="22.95" customHeight="1">
      <c r="A33" s="242" t="s">
        <v>246</v>
      </c>
      <c r="B33" s="218">
        <v>8</v>
      </c>
      <c r="C33" s="216" t="s">
        <v>113</v>
      </c>
      <c r="D33" s="215" t="s">
        <v>113</v>
      </c>
      <c r="E33" s="215"/>
      <c r="F33" s="217"/>
      <c r="G33" s="217"/>
      <c r="H33" s="217"/>
      <c r="I33" s="217"/>
      <c r="J33" s="217"/>
      <c r="K33" s="217"/>
      <c r="L33" s="218"/>
      <c r="M33" s="217"/>
      <c r="N33" s="219"/>
      <c r="O33" s="217"/>
      <c r="P33" s="219"/>
      <c r="Q33" s="219"/>
      <c r="R33" s="220"/>
      <c r="S33" s="261" t="s">
        <v>84</v>
      </c>
      <c r="T33" s="93"/>
      <c r="V33" s="436"/>
      <c r="W33" s="436"/>
      <c r="X33" s="436"/>
      <c r="Y33" s="436"/>
      <c r="Z33" s="436"/>
    </row>
    <row r="34" spans="1:30" ht="42" customHeight="1">
      <c r="A34" s="141" t="s">
        <v>227</v>
      </c>
      <c r="B34" s="203" t="s">
        <v>226</v>
      </c>
      <c r="C34" s="189" t="s">
        <v>0</v>
      </c>
      <c r="D34" s="143" t="s">
        <v>18</v>
      </c>
      <c r="E34" s="143"/>
      <c r="F34" s="144" t="s">
        <v>22</v>
      </c>
      <c r="G34" s="144" t="s">
        <v>23</v>
      </c>
      <c r="H34" s="144" t="s">
        <v>24</v>
      </c>
      <c r="I34" s="144" t="s">
        <v>53</v>
      </c>
      <c r="J34" s="144"/>
      <c r="K34" s="144" t="s">
        <v>369</v>
      </c>
      <c r="L34" s="144" t="s">
        <v>25</v>
      </c>
      <c r="M34" s="144" t="str">
        <f>M18</f>
        <v>dont Eval CC</v>
      </c>
      <c r="N34" s="144" t="str">
        <f>N18</f>
        <v>dont Eval DS</v>
      </c>
      <c r="O34" s="144" t="s">
        <v>20</v>
      </c>
      <c r="P34" s="144" t="s">
        <v>21</v>
      </c>
      <c r="Q34" s="144" t="str">
        <f>Q18</f>
        <v>Rattrapable</v>
      </c>
      <c r="R34" s="145"/>
      <c r="S34" s="253" t="s">
        <v>85</v>
      </c>
      <c r="T34" s="1"/>
      <c r="V34" s="103"/>
      <c r="W34" s="103"/>
      <c r="X34" s="103"/>
      <c r="Y34" s="103"/>
      <c r="Z34" s="103"/>
      <c r="AD34" s="8"/>
    </row>
    <row r="35" spans="1:30" ht="16.2" customHeight="1">
      <c r="A35" s="151" t="s">
        <v>261</v>
      </c>
      <c r="B35" s="152" t="s">
        <v>230</v>
      </c>
      <c r="C35" s="191" t="s">
        <v>304</v>
      </c>
      <c r="D35" s="183" t="s">
        <v>97</v>
      </c>
      <c r="E35" s="241" t="s">
        <v>217</v>
      </c>
      <c r="F35" s="153"/>
      <c r="G35" s="149">
        <v>4</v>
      </c>
      <c r="H35" s="153"/>
      <c r="I35" s="3"/>
      <c r="J35" s="149"/>
      <c r="K35" s="149"/>
      <c r="L35" s="156">
        <v>0</v>
      </c>
      <c r="M35" s="149"/>
      <c r="N35" s="149"/>
      <c r="O35" s="149"/>
      <c r="P35" s="149"/>
      <c r="Q35" s="149"/>
      <c r="R35" s="1">
        <f>SUM(F35,K38,H35,G35,K35)</f>
        <v>4</v>
      </c>
      <c r="S35" s="251"/>
      <c r="T35" s="1"/>
      <c r="V35" s="103"/>
      <c r="W35" s="103"/>
      <c r="X35" s="103"/>
      <c r="Y35" s="103"/>
      <c r="Z35" s="103"/>
      <c r="AD35" s="8"/>
    </row>
    <row r="36" spans="1:30" ht="16.2" customHeight="1">
      <c r="A36" s="159" t="s">
        <v>330</v>
      </c>
      <c r="B36" s="148" t="s">
        <v>329</v>
      </c>
      <c r="C36" s="192" t="s">
        <v>3</v>
      </c>
      <c r="D36" s="183" t="s">
        <v>98</v>
      </c>
      <c r="E36" s="240" t="s">
        <v>202</v>
      </c>
      <c r="F36" s="149">
        <v>16</v>
      </c>
      <c r="G36" s="149">
        <v>20</v>
      </c>
      <c r="H36" s="149"/>
      <c r="I36" s="3"/>
      <c r="J36" s="149"/>
      <c r="K36" s="149"/>
      <c r="L36" s="156">
        <v>2</v>
      </c>
      <c r="M36" s="149"/>
      <c r="N36" s="149">
        <v>2</v>
      </c>
      <c r="O36" s="149" t="s">
        <v>110</v>
      </c>
      <c r="P36" s="149" t="s">
        <v>110</v>
      </c>
      <c r="Q36" s="149" t="s">
        <v>110</v>
      </c>
      <c r="R36" s="1">
        <f t="shared" ref="R36:R41" si="4">SUM(F36,G36,H36,I36,K36)</f>
        <v>36</v>
      </c>
      <c r="S36" s="253" t="s">
        <v>320</v>
      </c>
      <c r="T36" s="1"/>
      <c r="V36" s="103"/>
      <c r="W36" s="103"/>
      <c r="X36" s="103"/>
      <c r="Y36" s="103"/>
      <c r="Z36" s="103"/>
      <c r="AD36" s="8"/>
    </row>
    <row r="37" spans="1:30" ht="16.2" customHeight="1">
      <c r="A37" s="159" t="s">
        <v>196</v>
      </c>
      <c r="B37" s="148" t="s">
        <v>8</v>
      </c>
      <c r="C37" s="192" t="s">
        <v>9</v>
      </c>
      <c r="D37" s="183" t="s">
        <v>98</v>
      </c>
      <c r="E37" s="240" t="s">
        <v>202</v>
      </c>
      <c r="F37" s="149">
        <v>20</v>
      </c>
      <c r="G37" s="153">
        <v>23</v>
      </c>
      <c r="H37" s="153">
        <v>4</v>
      </c>
      <c r="I37" s="153"/>
      <c r="J37" s="153"/>
      <c r="K37" s="153"/>
      <c r="L37" s="156">
        <v>2</v>
      </c>
      <c r="M37" s="149">
        <v>1</v>
      </c>
      <c r="N37" s="149">
        <v>2</v>
      </c>
      <c r="O37" s="149" t="s">
        <v>110</v>
      </c>
      <c r="P37" s="149" t="s">
        <v>110</v>
      </c>
      <c r="Q37" s="149" t="s">
        <v>110</v>
      </c>
      <c r="R37" s="1">
        <f t="shared" si="4"/>
        <v>47</v>
      </c>
      <c r="S37" s="253"/>
      <c r="T37" s="1"/>
      <c r="V37" s="103"/>
      <c r="W37" s="103"/>
      <c r="X37" s="103"/>
      <c r="Y37" s="103"/>
      <c r="Z37" s="103"/>
      <c r="AD37" s="8"/>
    </row>
    <row r="38" spans="1:30" ht="16.2" customHeight="1">
      <c r="A38" s="159" t="s">
        <v>195</v>
      </c>
      <c r="B38" s="148" t="s">
        <v>5</v>
      </c>
      <c r="C38" s="198" t="s">
        <v>6</v>
      </c>
      <c r="D38" s="183" t="s">
        <v>19</v>
      </c>
      <c r="E38" s="239" t="s">
        <v>440</v>
      </c>
      <c r="F38" s="149">
        <v>14</v>
      </c>
      <c r="G38" s="153">
        <v>10</v>
      </c>
      <c r="H38" s="153">
        <v>8</v>
      </c>
      <c r="I38" s="153"/>
      <c r="J38" s="153"/>
      <c r="K38" s="153"/>
      <c r="L38" s="156">
        <v>2</v>
      </c>
      <c r="M38" s="149"/>
      <c r="N38" s="149">
        <v>2</v>
      </c>
      <c r="O38" s="149" t="s">
        <v>110</v>
      </c>
      <c r="P38" s="149" t="s">
        <v>110</v>
      </c>
      <c r="Q38" s="149" t="s">
        <v>110</v>
      </c>
      <c r="R38" s="1">
        <f>SUM(F38,G38,H38,I38,K38)</f>
        <v>32</v>
      </c>
      <c r="S38" s="251"/>
      <c r="T38" s="1"/>
      <c r="V38" s="103"/>
      <c r="W38" s="103"/>
      <c r="X38" s="103"/>
      <c r="Y38" s="103"/>
      <c r="Z38" s="103"/>
      <c r="AD38" s="8"/>
    </row>
    <row r="39" spans="1:30" ht="16.2" customHeight="1">
      <c r="A39" s="154" t="s">
        <v>409</v>
      </c>
      <c r="B39" s="155" t="s">
        <v>408</v>
      </c>
      <c r="C39" s="168" t="s">
        <v>410</v>
      </c>
      <c r="D39" s="183" t="s">
        <v>19</v>
      </c>
      <c r="E39" s="239" t="s">
        <v>440</v>
      </c>
      <c r="F39" s="153">
        <v>5</v>
      </c>
      <c r="G39" s="153">
        <v>14</v>
      </c>
      <c r="H39" s="153">
        <v>8</v>
      </c>
      <c r="I39" s="149"/>
      <c r="J39" s="149"/>
      <c r="K39" s="149">
        <v>10</v>
      </c>
      <c r="L39" s="156">
        <v>2</v>
      </c>
      <c r="M39" s="149"/>
      <c r="N39" s="149">
        <v>2</v>
      </c>
      <c r="O39" s="149" t="s">
        <v>110</v>
      </c>
      <c r="P39" s="149" t="s">
        <v>110</v>
      </c>
      <c r="Q39" s="149" t="s">
        <v>110</v>
      </c>
      <c r="R39" s="1">
        <f>SUM(F39,G39,H39,I39,K39)</f>
        <v>37</v>
      </c>
      <c r="S39" s="253" t="e">
        <f>#REF!+#REF!</f>
        <v>#REF!</v>
      </c>
      <c r="T39" s="1"/>
      <c r="V39" s="437"/>
      <c r="W39" s="437"/>
      <c r="X39" s="437"/>
      <c r="Y39" s="438"/>
      <c r="Z39" s="103"/>
      <c r="AD39" s="8"/>
    </row>
    <row r="40" spans="1:30" ht="16.2" customHeight="1">
      <c r="A40" s="159" t="s">
        <v>437</v>
      </c>
      <c r="B40" s="148" t="s">
        <v>434</v>
      </c>
      <c r="C40" s="192" t="s">
        <v>15</v>
      </c>
      <c r="D40" s="183" t="s">
        <v>99</v>
      </c>
      <c r="E40" s="204" t="s">
        <v>201</v>
      </c>
      <c r="F40" s="149">
        <v>12</v>
      </c>
      <c r="G40" s="149">
        <v>8</v>
      </c>
      <c r="H40" s="149">
        <v>16</v>
      </c>
      <c r="I40" s="149"/>
      <c r="J40" s="149"/>
      <c r="K40" s="149"/>
      <c r="L40" s="156">
        <v>2</v>
      </c>
      <c r="M40" s="149"/>
      <c r="N40" s="149">
        <v>2</v>
      </c>
      <c r="O40" s="149" t="s">
        <v>110</v>
      </c>
      <c r="P40" s="149" t="s">
        <v>110</v>
      </c>
      <c r="Q40" s="149" t="s">
        <v>110</v>
      </c>
      <c r="R40" s="1">
        <f t="shared" ref="R40" si="5">SUM(F40,G40,H40,I40,K40)</f>
        <v>36</v>
      </c>
      <c r="S40" s="253" t="s">
        <v>78</v>
      </c>
      <c r="T40" s="1"/>
      <c r="V40" s="103"/>
      <c r="W40" s="103"/>
      <c r="X40" s="103"/>
      <c r="Y40" s="103"/>
      <c r="Z40" s="103"/>
      <c r="AD40" s="8"/>
    </row>
    <row r="41" spans="1:30" ht="16.2" customHeight="1">
      <c r="A41" s="159" t="s">
        <v>194</v>
      </c>
      <c r="B41" s="148" t="s">
        <v>116</v>
      </c>
      <c r="C41" s="192" t="s">
        <v>4</v>
      </c>
      <c r="D41" s="183" t="s">
        <v>97</v>
      </c>
      <c r="E41" s="234" t="s">
        <v>215</v>
      </c>
      <c r="F41" s="149">
        <v>6</v>
      </c>
      <c r="G41" s="153">
        <v>14</v>
      </c>
      <c r="H41" s="149">
        <v>8</v>
      </c>
      <c r="I41" s="149"/>
      <c r="J41" s="149"/>
      <c r="K41" s="149"/>
      <c r="L41" s="156">
        <v>2</v>
      </c>
      <c r="M41" s="149"/>
      <c r="N41" s="149">
        <v>0</v>
      </c>
      <c r="O41" s="149" t="s">
        <v>110</v>
      </c>
      <c r="P41" s="149" t="s">
        <v>111</v>
      </c>
      <c r="Q41" s="149" t="s">
        <v>110</v>
      </c>
      <c r="R41" s="1">
        <f t="shared" si="4"/>
        <v>28</v>
      </c>
      <c r="S41" s="253" t="s">
        <v>88</v>
      </c>
      <c r="T41" s="1"/>
      <c r="V41" s="103"/>
      <c r="W41" s="103"/>
      <c r="X41" s="103"/>
      <c r="Y41" s="103"/>
      <c r="Z41" s="103"/>
      <c r="AD41" s="8"/>
    </row>
    <row r="42" spans="1:30" s="1" customFormat="1" ht="16.2" customHeight="1">
      <c r="A42" s="151" t="s">
        <v>403</v>
      </c>
      <c r="B42" s="148" t="s">
        <v>402</v>
      </c>
      <c r="C42" s="192" t="s">
        <v>209</v>
      </c>
      <c r="D42" s="183" t="s">
        <v>97</v>
      </c>
      <c r="E42" s="234" t="s">
        <v>215</v>
      </c>
      <c r="F42" s="149"/>
      <c r="G42" s="153">
        <v>1</v>
      </c>
      <c r="H42" s="149">
        <v>12</v>
      </c>
      <c r="I42" s="149"/>
      <c r="J42" s="149"/>
      <c r="K42" s="149"/>
      <c r="L42" s="156">
        <v>1</v>
      </c>
      <c r="M42" s="149"/>
      <c r="N42" s="149">
        <v>1</v>
      </c>
      <c r="O42" s="149"/>
      <c r="P42" s="149"/>
      <c r="Q42" s="149"/>
      <c r="R42" s="1">
        <f>SUM(F42,G42,H42,I42,K42)</f>
        <v>13</v>
      </c>
      <c r="S42" s="257"/>
      <c r="V42" s="100"/>
      <c r="W42" s="100"/>
      <c r="X42" s="100"/>
      <c r="Y42" s="100"/>
      <c r="Z42" s="100"/>
    </row>
    <row r="43" spans="1:30" s="1" customFormat="1" ht="16.2" customHeight="1">
      <c r="A43" s="151" t="s">
        <v>257</v>
      </c>
      <c r="B43" s="148" t="s">
        <v>259</v>
      </c>
      <c r="C43" s="192" t="s">
        <v>26</v>
      </c>
      <c r="D43" s="183" t="s">
        <v>97</v>
      </c>
      <c r="E43" s="234" t="s">
        <v>215</v>
      </c>
      <c r="F43" s="149"/>
      <c r="G43" s="153">
        <v>16</v>
      </c>
      <c r="H43" s="149"/>
      <c r="I43" s="149"/>
      <c r="J43" s="149"/>
      <c r="K43" s="149"/>
      <c r="L43" s="156">
        <v>0</v>
      </c>
      <c r="M43" s="149"/>
      <c r="N43" s="149"/>
      <c r="O43" s="149" t="s">
        <v>110</v>
      </c>
      <c r="P43" s="149" t="s">
        <v>110</v>
      </c>
      <c r="Q43" s="149"/>
      <c r="R43" s="1">
        <f t="shared" ref="R43" si="6">SUM(F43,G43,H43,I43,K43,N43,M43)</f>
        <v>16</v>
      </c>
      <c r="S43" s="257"/>
    </row>
    <row r="44" spans="1:30" s="1" customFormat="1" ht="16.2" customHeight="1">
      <c r="A44" s="159" t="s">
        <v>49</v>
      </c>
      <c r="B44" s="148" t="s">
        <v>467</v>
      </c>
      <c r="C44" s="192" t="s">
        <v>210</v>
      </c>
      <c r="D44" s="183" t="s">
        <v>97</v>
      </c>
      <c r="E44" s="234" t="s">
        <v>215</v>
      </c>
      <c r="F44" s="149"/>
      <c r="G44" s="153">
        <v>8</v>
      </c>
      <c r="H44" s="149"/>
      <c r="I44" s="149"/>
      <c r="J44" s="149"/>
      <c r="K44" s="149"/>
      <c r="L44" s="156">
        <v>0</v>
      </c>
      <c r="M44" s="149"/>
      <c r="N44" s="149">
        <v>0</v>
      </c>
      <c r="O44" s="149" t="s">
        <v>110</v>
      </c>
      <c r="P44" s="149" t="s">
        <v>111</v>
      </c>
      <c r="Q44" s="149" t="s">
        <v>110</v>
      </c>
      <c r="R44" s="1">
        <f t="shared" ref="R44" si="7">SUM(F44,G44,H44,I44,K44)</f>
        <v>8</v>
      </c>
      <c r="S44" s="257" t="s">
        <v>419</v>
      </c>
    </row>
    <row r="45" spans="1:30" s="212" customFormat="1" ht="16.2" customHeight="1">
      <c r="A45" s="1"/>
      <c r="B45" s="172" t="s">
        <v>106</v>
      </c>
      <c r="C45" s="197"/>
      <c r="D45" s="170"/>
      <c r="E45" s="74">
        <f>SUM(F45:K45)</f>
        <v>257</v>
      </c>
      <c r="F45" s="74">
        <f>SUM(F35:F43)</f>
        <v>73</v>
      </c>
      <c r="G45" s="74">
        <f>SUM(G35:G44)</f>
        <v>118</v>
      </c>
      <c r="H45" s="74">
        <f t="shared" ref="H45:N45" si="8">SUM(H35:H43)</f>
        <v>56</v>
      </c>
      <c r="I45" s="74">
        <f t="shared" si="8"/>
        <v>0</v>
      </c>
      <c r="J45" s="74"/>
      <c r="K45" s="74">
        <f t="shared" si="8"/>
        <v>10</v>
      </c>
      <c r="L45" s="74">
        <f t="shared" si="8"/>
        <v>13</v>
      </c>
      <c r="M45" s="74">
        <f t="shared" si="8"/>
        <v>1</v>
      </c>
      <c r="N45" s="74">
        <f t="shared" si="8"/>
        <v>11</v>
      </c>
      <c r="O45" s="57"/>
      <c r="P45" s="57"/>
      <c r="Q45" s="57"/>
      <c r="R45" s="163">
        <f>SUM(R35:R43)</f>
        <v>249</v>
      </c>
      <c r="S45" s="255"/>
      <c r="T45" s="211"/>
    </row>
    <row r="46" spans="1:30" ht="16.2" customHeight="1">
      <c r="A46" s="1"/>
      <c r="B46" s="167"/>
      <c r="C46" s="195"/>
      <c r="D46" s="164">
        <f>(B33*9)*3</f>
        <v>216</v>
      </c>
      <c r="E46" s="164">
        <f>35*B33</f>
        <v>280</v>
      </c>
      <c r="F46" s="95"/>
      <c r="G46" s="95"/>
      <c r="H46" s="95"/>
      <c r="I46" s="95"/>
      <c r="J46" s="95"/>
      <c r="K46" s="95"/>
      <c r="M46" s="95"/>
      <c r="N46" s="95"/>
      <c r="O46" s="95"/>
      <c r="P46" s="95"/>
      <c r="Q46" s="95"/>
      <c r="R46" s="95"/>
      <c r="S46" s="253"/>
      <c r="T46" s="78"/>
    </row>
    <row r="47" spans="1:30" ht="16.2" customHeight="1">
      <c r="A47" s="243" t="s">
        <v>250</v>
      </c>
      <c r="B47" s="249">
        <v>7</v>
      </c>
      <c r="C47" s="213" t="s">
        <v>113</v>
      </c>
      <c r="D47" s="213" t="s">
        <v>113</v>
      </c>
      <c r="E47" s="213"/>
      <c r="F47" s="213"/>
      <c r="G47" s="213"/>
      <c r="H47" s="213"/>
      <c r="I47" s="213"/>
      <c r="J47" s="213"/>
      <c r="K47" s="213"/>
      <c r="L47" s="214"/>
      <c r="M47" s="213"/>
      <c r="N47" s="213"/>
      <c r="O47" s="213"/>
      <c r="P47" s="213"/>
      <c r="Q47" s="213"/>
      <c r="R47" s="213"/>
      <c r="S47" s="258"/>
      <c r="T47" s="1"/>
    </row>
    <row r="48" spans="1:30" s="8" customFormat="1" ht="16.2" customHeight="1">
      <c r="A48" s="21" t="s">
        <v>254</v>
      </c>
      <c r="B48" s="165" t="s">
        <v>234</v>
      </c>
      <c r="C48" s="194"/>
      <c r="D48" s="184" t="s">
        <v>100</v>
      </c>
      <c r="E48" s="241" t="s">
        <v>217</v>
      </c>
      <c r="F48" s="3"/>
      <c r="G48" s="158"/>
      <c r="H48" s="157"/>
      <c r="I48" s="157"/>
      <c r="J48" s="157"/>
      <c r="K48" s="157"/>
      <c r="L48" s="56">
        <v>6</v>
      </c>
      <c r="M48" s="157"/>
      <c r="N48" s="157"/>
      <c r="O48" s="157"/>
      <c r="P48" s="157"/>
      <c r="Q48" s="157" t="s">
        <v>111</v>
      </c>
      <c r="R48" s="1"/>
      <c r="S48" s="259"/>
      <c r="T48" s="93"/>
    </row>
    <row r="49" spans="1:30" s="8" customFormat="1" ht="36.6" customHeight="1">
      <c r="A49"/>
      <c r="B49" s="77"/>
      <c r="C49" s="80"/>
      <c r="D49" s="77"/>
      <c r="E49" s="77"/>
      <c r="F49"/>
      <c r="G49" s="1"/>
      <c r="H49" s="1"/>
      <c r="I49" s="1"/>
      <c r="J49" s="1"/>
      <c r="K49" s="1"/>
      <c r="L49" s="95"/>
      <c r="M49" s="1"/>
      <c r="N49" s="1"/>
      <c r="O49" s="1"/>
      <c r="P49" s="1"/>
      <c r="Q49" s="1"/>
      <c r="R49" s="1"/>
      <c r="S49" s="261" t="s">
        <v>84</v>
      </c>
      <c r="T49" s="93"/>
    </row>
    <row r="50" spans="1:30" ht="23.4" customHeight="1">
      <c r="A50" s="242" t="s">
        <v>247</v>
      </c>
      <c r="B50" s="218">
        <v>7</v>
      </c>
      <c r="C50" s="216" t="s">
        <v>113</v>
      </c>
      <c r="D50" s="215" t="s">
        <v>113</v>
      </c>
      <c r="E50" s="215"/>
      <c r="F50" s="217"/>
      <c r="G50" s="217"/>
      <c r="H50" s="217"/>
      <c r="I50" s="217"/>
      <c r="J50" s="217"/>
      <c r="K50" s="217"/>
      <c r="L50" s="218"/>
      <c r="M50" s="217"/>
      <c r="N50" s="219"/>
      <c r="O50" s="217"/>
      <c r="P50" s="219"/>
      <c r="Q50" s="219"/>
      <c r="R50" s="220"/>
      <c r="S50" s="253" t="s">
        <v>85</v>
      </c>
      <c r="T50" s="1"/>
      <c r="AD50" s="8"/>
    </row>
    <row r="51" spans="1:30" ht="36" customHeight="1">
      <c r="A51" s="141" t="s">
        <v>227</v>
      </c>
      <c r="B51" s="203" t="s">
        <v>226</v>
      </c>
      <c r="C51" s="189" t="s">
        <v>0</v>
      </c>
      <c r="D51" s="185" t="s">
        <v>18</v>
      </c>
      <c r="E51" s="143"/>
      <c r="F51" s="144" t="s">
        <v>22</v>
      </c>
      <c r="G51" s="144" t="s">
        <v>23</v>
      </c>
      <c r="H51" s="144" t="s">
        <v>24</v>
      </c>
      <c r="I51" s="144" t="s">
        <v>53</v>
      </c>
      <c r="J51" s="144"/>
      <c r="K51" s="144" t="s">
        <v>369</v>
      </c>
      <c r="L51" s="144" t="s">
        <v>25</v>
      </c>
      <c r="M51" s="144" t="str">
        <f>M34</f>
        <v>dont Eval CC</v>
      </c>
      <c r="N51" s="144" t="str">
        <f>N34</f>
        <v>dont Eval DS</v>
      </c>
      <c r="O51" s="144" t="s">
        <v>20</v>
      </c>
      <c r="P51" s="144" t="s">
        <v>21</v>
      </c>
      <c r="Q51" s="144" t="str">
        <f>Q34</f>
        <v>Rattrapable</v>
      </c>
      <c r="R51" s="145"/>
      <c r="S51" s="253"/>
      <c r="T51" s="1"/>
      <c r="AD51" s="8"/>
    </row>
    <row r="52" spans="1:30" ht="16.2" customHeight="1">
      <c r="A52" s="151" t="s">
        <v>262</v>
      </c>
      <c r="B52" s="152" t="s">
        <v>231</v>
      </c>
      <c r="C52" s="191" t="s">
        <v>304</v>
      </c>
      <c r="D52" s="183" t="s">
        <v>97</v>
      </c>
      <c r="E52" s="241" t="s">
        <v>217</v>
      </c>
      <c r="F52" s="153"/>
      <c r="G52" s="149">
        <v>4</v>
      </c>
      <c r="H52" s="153"/>
      <c r="I52" s="3"/>
      <c r="J52" s="3"/>
      <c r="K52" s="3"/>
      <c r="L52" s="156">
        <v>0</v>
      </c>
      <c r="M52" s="149"/>
      <c r="N52" s="149"/>
      <c r="O52" s="149"/>
      <c r="P52" s="149"/>
      <c r="Q52" s="149"/>
      <c r="R52" s="1">
        <f>SUM(F52,K53,H52,G52,K52)</f>
        <v>4</v>
      </c>
      <c r="S52" s="253"/>
      <c r="T52" s="1"/>
      <c r="AD52" s="8"/>
    </row>
    <row r="53" spans="1:30" ht="16.2" customHeight="1">
      <c r="A53" s="151" t="s">
        <v>398</v>
      </c>
      <c r="B53" s="152" t="s">
        <v>208</v>
      </c>
      <c r="C53" s="191" t="s">
        <v>303</v>
      </c>
      <c r="D53" s="183" t="s">
        <v>99</v>
      </c>
      <c r="E53" s="204" t="s">
        <v>201</v>
      </c>
      <c r="F53" s="153">
        <v>16</v>
      </c>
      <c r="G53" s="153">
        <v>21</v>
      </c>
      <c r="H53" s="153"/>
      <c r="I53" s="3"/>
      <c r="J53" s="3"/>
      <c r="K53" s="3"/>
      <c r="L53" s="156">
        <v>2</v>
      </c>
      <c r="M53" s="149">
        <v>1</v>
      </c>
      <c r="N53" s="149">
        <v>2</v>
      </c>
      <c r="O53" s="149" t="s">
        <v>110</v>
      </c>
      <c r="P53" s="149" t="s">
        <v>110</v>
      </c>
      <c r="Q53" s="149" t="s">
        <v>110</v>
      </c>
      <c r="R53" s="1">
        <f t="shared" ref="R53:R58" si="9">SUM(F53,G53,H53,I53,K53)</f>
        <v>37</v>
      </c>
      <c r="S53" s="253"/>
      <c r="T53" s="1"/>
      <c r="AD53" s="8"/>
    </row>
    <row r="54" spans="1:30" ht="16.2" customHeight="1">
      <c r="A54" s="159" t="s">
        <v>414</v>
      </c>
      <c r="B54" s="148" t="s">
        <v>411</v>
      </c>
      <c r="C54" s="198" t="s">
        <v>198</v>
      </c>
      <c r="D54" s="183" t="s">
        <v>19</v>
      </c>
      <c r="E54" s="239" t="s">
        <v>440</v>
      </c>
      <c r="F54" s="149">
        <v>2</v>
      </c>
      <c r="G54" s="153">
        <v>16</v>
      </c>
      <c r="H54" s="153">
        <v>16</v>
      </c>
      <c r="I54" s="153"/>
      <c r="J54" s="153"/>
      <c r="K54" s="153"/>
      <c r="L54" s="156">
        <v>2</v>
      </c>
      <c r="M54" s="149"/>
      <c r="N54" s="149">
        <v>2</v>
      </c>
      <c r="O54" s="149" t="s">
        <v>110</v>
      </c>
      <c r="P54" s="149" t="s">
        <v>110</v>
      </c>
      <c r="Q54" s="149" t="s">
        <v>110</v>
      </c>
      <c r="R54" s="1">
        <f>SUM(F54,G54,H54,I54,K54)</f>
        <v>34</v>
      </c>
      <c r="S54" s="251"/>
      <c r="T54" s="1"/>
      <c r="AD54" s="8"/>
    </row>
    <row r="55" spans="1:30" ht="16.2" customHeight="1">
      <c r="A55" s="159" t="s">
        <v>205</v>
      </c>
      <c r="B55" s="148" t="s">
        <v>206</v>
      </c>
      <c r="C55" s="192" t="s">
        <v>13</v>
      </c>
      <c r="D55" s="183" t="s">
        <v>99</v>
      </c>
      <c r="E55" s="204" t="s">
        <v>201</v>
      </c>
      <c r="F55" s="149">
        <v>10</v>
      </c>
      <c r="G55" s="153">
        <v>8</v>
      </c>
      <c r="H55" s="153">
        <v>24</v>
      </c>
      <c r="I55" s="153"/>
      <c r="J55" s="153"/>
      <c r="K55" s="153"/>
      <c r="L55" s="156">
        <v>2</v>
      </c>
      <c r="M55" s="149"/>
      <c r="N55" s="149">
        <v>4</v>
      </c>
      <c r="O55" s="149" t="s">
        <v>110</v>
      </c>
      <c r="P55" s="149" t="s">
        <v>110</v>
      </c>
      <c r="Q55" s="149" t="s">
        <v>110</v>
      </c>
      <c r="R55" s="1">
        <f>SUM(F55,G55,H55,I55,K55)</f>
        <v>42</v>
      </c>
      <c r="S55" s="253"/>
      <c r="T55" s="1"/>
      <c r="AD55" s="8"/>
    </row>
    <row r="56" spans="1:30" ht="16.2" customHeight="1">
      <c r="A56" s="151" t="s">
        <v>197</v>
      </c>
      <c r="B56" s="148" t="s">
        <v>7</v>
      </c>
      <c r="C56" s="192" t="s">
        <v>303</v>
      </c>
      <c r="D56" s="183" t="s">
        <v>98</v>
      </c>
      <c r="E56" s="240" t="s">
        <v>202</v>
      </c>
      <c r="F56" s="149"/>
      <c r="G56" s="153">
        <v>2</v>
      </c>
      <c r="H56" s="153">
        <v>32</v>
      </c>
      <c r="I56" s="153"/>
      <c r="J56" s="153"/>
      <c r="K56" s="153"/>
      <c r="L56" s="156">
        <v>2</v>
      </c>
      <c r="M56" s="149"/>
      <c r="N56" s="149">
        <v>2</v>
      </c>
      <c r="O56" s="149" t="s">
        <v>110</v>
      </c>
      <c r="P56" s="149" t="s">
        <v>110</v>
      </c>
      <c r="Q56" s="149" t="s">
        <v>110</v>
      </c>
      <c r="R56" s="1">
        <f t="shared" si="9"/>
        <v>34</v>
      </c>
      <c r="S56" s="253"/>
      <c r="T56" s="1"/>
      <c r="AD56" s="8"/>
    </row>
    <row r="57" spans="1:30" ht="16.2" customHeight="1">
      <c r="A57" s="151" t="s">
        <v>257</v>
      </c>
      <c r="B57" s="148" t="s">
        <v>259</v>
      </c>
      <c r="C57" s="192" t="s">
        <v>26</v>
      </c>
      <c r="D57" s="183" t="s">
        <v>97</v>
      </c>
      <c r="E57" s="234" t="s">
        <v>215</v>
      </c>
      <c r="F57" s="149"/>
      <c r="G57" s="153">
        <v>20</v>
      </c>
      <c r="H57" s="149"/>
      <c r="I57" s="149"/>
      <c r="J57" s="149"/>
      <c r="K57" s="149"/>
      <c r="L57" s="156">
        <v>3</v>
      </c>
      <c r="M57" s="149"/>
      <c r="N57" s="149">
        <v>0</v>
      </c>
      <c r="O57" s="149" t="s">
        <v>110</v>
      </c>
      <c r="P57" s="149" t="s">
        <v>111</v>
      </c>
      <c r="Q57" s="149" t="s">
        <v>110</v>
      </c>
      <c r="R57" s="1">
        <f t="shared" si="9"/>
        <v>20</v>
      </c>
      <c r="S57" s="253"/>
      <c r="T57" s="1"/>
      <c r="AD57" s="8"/>
    </row>
    <row r="58" spans="1:30" s="1" customFormat="1" ht="16.2" customHeight="1">
      <c r="A58" s="159" t="s">
        <v>49</v>
      </c>
      <c r="B58" s="148" t="s">
        <v>467</v>
      </c>
      <c r="C58" s="192" t="s">
        <v>210</v>
      </c>
      <c r="D58" s="183" t="s">
        <v>97</v>
      </c>
      <c r="E58" s="234" t="s">
        <v>215</v>
      </c>
      <c r="F58" s="149"/>
      <c r="G58" s="153">
        <v>18</v>
      </c>
      <c r="H58" s="149"/>
      <c r="I58" s="149"/>
      <c r="J58" s="149"/>
      <c r="K58" s="149"/>
      <c r="L58" s="156">
        <v>2</v>
      </c>
      <c r="M58" s="149"/>
      <c r="N58" s="149">
        <v>0</v>
      </c>
      <c r="O58" s="149" t="s">
        <v>110</v>
      </c>
      <c r="P58" s="149" t="s">
        <v>111</v>
      </c>
      <c r="Q58" s="149" t="s">
        <v>110</v>
      </c>
      <c r="R58" s="1">
        <f t="shared" si="9"/>
        <v>18</v>
      </c>
      <c r="S58" s="257"/>
    </row>
    <row r="59" spans="1:30" s="1" customFormat="1" ht="16.2" customHeight="1">
      <c r="A59" s="146" t="s">
        <v>255</v>
      </c>
      <c r="B59" s="372"/>
      <c r="C59" s="373"/>
      <c r="D59" s="372"/>
      <c r="E59" s="371" t="s">
        <v>252</v>
      </c>
      <c r="F59" s="374"/>
      <c r="G59" s="374"/>
      <c r="H59" s="374"/>
      <c r="I59" s="374"/>
      <c r="J59" s="374"/>
      <c r="K59" s="374"/>
      <c r="L59" s="374"/>
      <c r="M59" s="374"/>
      <c r="N59" s="374">
        <v>1</v>
      </c>
      <c r="O59" s="374"/>
      <c r="P59" s="374"/>
      <c r="Q59" s="374"/>
      <c r="S59" s="257"/>
    </row>
    <row r="60" spans="1:30" s="212" customFormat="1" ht="16.2" customHeight="1">
      <c r="A60" s="1"/>
      <c r="B60" s="172" t="s">
        <v>105</v>
      </c>
      <c r="C60" s="208"/>
      <c r="D60" s="207"/>
      <c r="E60" s="74">
        <f>SUM(F60:K60)</f>
        <v>189</v>
      </c>
      <c r="F60" s="74">
        <f t="shared" ref="F60:M60" si="10">SUM(F52:F58)</f>
        <v>28</v>
      </c>
      <c r="G60" s="74">
        <f t="shared" si="10"/>
        <v>89</v>
      </c>
      <c r="H60" s="74">
        <f t="shared" si="10"/>
        <v>72</v>
      </c>
      <c r="I60" s="74">
        <f t="shared" si="10"/>
        <v>0</v>
      </c>
      <c r="J60" s="74"/>
      <c r="K60" s="74">
        <f t="shared" si="10"/>
        <v>0</v>
      </c>
      <c r="L60" s="74">
        <f t="shared" si="10"/>
        <v>13</v>
      </c>
      <c r="M60" s="74">
        <f t="shared" si="10"/>
        <v>1</v>
      </c>
      <c r="N60" s="74">
        <f>SUM(N52:N59)</f>
        <v>11</v>
      </c>
      <c r="O60" s="57"/>
      <c r="P60" s="57"/>
      <c r="Q60" s="57"/>
      <c r="R60" s="163">
        <f>SUM(R52:R59)</f>
        <v>189</v>
      </c>
      <c r="S60" s="255"/>
      <c r="T60" s="211"/>
    </row>
    <row r="61" spans="1:30" ht="16.2" customHeight="1">
      <c r="A61" s="1"/>
      <c r="B61" s="167"/>
      <c r="C61" s="195"/>
      <c r="D61" s="164">
        <f>(B50*9)*3</f>
        <v>189</v>
      </c>
      <c r="E61" s="164">
        <f>35*B50</f>
        <v>245</v>
      </c>
      <c r="F61" s="95"/>
      <c r="G61" s="95"/>
      <c r="H61" s="95"/>
      <c r="I61" s="95"/>
      <c r="J61" s="95"/>
      <c r="K61" s="95"/>
      <c r="M61" s="95"/>
      <c r="N61" s="95"/>
      <c r="O61" s="95"/>
      <c r="P61" s="95"/>
      <c r="Q61" s="95"/>
      <c r="R61" s="95"/>
      <c r="S61" s="253"/>
      <c r="T61" s="78"/>
    </row>
    <row r="62" spans="1:30" ht="16.2" customHeight="1">
      <c r="A62" s="243" t="s">
        <v>251</v>
      </c>
      <c r="B62" s="249">
        <v>9</v>
      </c>
      <c r="C62" s="213" t="s">
        <v>113</v>
      </c>
      <c r="D62" s="213" t="s">
        <v>113</v>
      </c>
      <c r="E62" s="213"/>
      <c r="F62" s="213"/>
      <c r="G62" s="213"/>
      <c r="H62" s="213"/>
      <c r="I62" s="213"/>
      <c r="J62" s="213"/>
      <c r="K62" s="213"/>
      <c r="L62" s="214"/>
      <c r="M62" s="213"/>
      <c r="N62" s="213"/>
      <c r="O62" s="213"/>
      <c r="P62" s="213"/>
      <c r="Q62" s="213"/>
      <c r="R62" s="213"/>
      <c r="S62" s="253" t="s">
        <v>320</v>
      </c>
      <c r="T62" s="78"/>
    </row>
    <row r="63" spans="1:30" ht="16.2" customHeight="1">
      <c r="A63" s="159" t="s">
        <v>413</v>
      </c>
      <c r="B63" s="148" t="s">
        <v>361</v>
      </c>
      <c r="C63" s="198" t="s">
        <v>6</v>
      </c>
      <c r="D63" s="183" t="s">
        <v>19</v>
      </c>
      <c r="E63" s="239" t="s">
        <v>440</v>
      </c>
      <c r="F63" s="149"/>
      <c r="G63" s="153">
        <v>1</v>
      </c>
      <c r="H63" s="153"/>
      <c r="I63" s="153"/>
      <c r="J63" s="153"/>
      <c r="K63" s="153">
        <v>5</v>
      </c>
      <c r="L63" s="156">
        <v>1</v>
      </c>
      <c r="M63" s="149"/>
      <c r="N63" s="149"/>
      <c r="O63" s="149"/>
      <c r="P63" s="149"/>
      <c r="Q63" s="149"/>
      <c r="R63" s="1">
        <f t="shared" ref="R63" si="11">SUM(F63,G63,H63,I63,K63)</f>
        <v>6</v>
      </c>
      <c r="S63" s="253"/>
      <c r="T63" s="78"/>
    </row>
    <row r="64" spans="1:30" s="8" customFormat="1" ht="16.2" customHeight="1">
      <c r="A64" s="21" t="s">
        <v>235</v>
      </c>
      <c r="B64" s="165" t="s">
        <v>236</v>
      </c>
      <c r="C64" s="194"/>
      <c r="D64" s="386" t="s">
        <v>100</v>
      </c>
      <c r="E64" s="241" t="s">
        <v>217</v>
      </c>
      <c r="F64" s="3"/>
      <c r="G64" s="158"/>
      <c r="H64" s="157"/>
      <c r="I64" s="157"/>
      <c r="J64" s="157"/>
      <c r="K64" s="157"/>
      <c r="L64" s="56">
        <v>5</v>
      </c>
      <c r="M64" s="157"/>
      <c r="N64" s="157"/>
      <c r="O64" s="157"/>
      <c r="P64" s="157"/>
      <c r="Q64" s="157" t="s">
        <v>111</v>
      </c>
      <c r="R64" s="1"/>
      <c r="S64" s="259"/>
      <c r="T64" s="93"/>
    </row>
    <row r="65" spans="1:20" ht="16.2" customHeight="1">
      <c r="A65" s="173"/>
      <c r="D65" s="174"/>
      <c r="E65" s="174"/>
      <c r="F65" s="1"/>
      <c r="G65" s="94"/>
      <c r="S65" s="258"/>
      <c r="T65" s="1"/>
    </row>
    <row r="66" spans="1:20" ht="16.2" customHeight="1">
      <c r="G66"/>
      <c r="H66"/>
      <c r="I66"/>
      <c r="J66"/>
      <c r="K66"/>
      <c r="L66" s="25"/>
      <c r="M66"/>
      <c r="N66"/>
      <c r="O66"/>
      <c r="P66"/>
      <c r="Q66"/>
      <c r="R66" s="62"/>
      <c r="S66" s="260">
        <v>694</v>
      </c>
      <c r="T66" s="1"/>
    </row>
    <row r="67" spans="1:20" ht="16.2" customHeight="1">
      <c r="A67" s="176" t="s">
        <v>38</v>
      </c>
      <c r="B67" s="177"/>
      <c r="C67" s="199"/>
      <c r="D67" s="177"/>
      <c r="E67" s="177"/>
      <c r="F67" s="178">
        <f>SUM(F60,F45,F28,F12)</f>
        <v>189</v>
      </c>
      <c r="G67" s="178">
        <f>SUM(G60,G45,G28,G12)</f>
        <v>369</v>
      </c>
      <c r="H67" s="178">
        <f>SUM(H60,H45,H28,H12)</f>
        <v>178</v>
      </c>
      <c r="I67" s="178">
        <f>SUM(I60,I45,I28,I12)</f>
        <v>14</v>
      </c>
      <c r="J67" s="178"/>
      <c r="K67" s="178">
        <f>SUM(K60,K45,K28,K12)</f>
        <v>10</v>
      </c>
      <c r="L67" s="178">
        <f>SUM(L60,L45,L28,L12,L63)-L10</f>
        <v>42</v>
      </c>
      <c r="M67" s="178">
        <f>SUM(M60,M45,M28,M12)</f>
        <v>3</v>
      </c>
      <c r="N67" s="178">
        <f>SUM(N60,N45,N28,N12)</f>
        <v>37</v>
      </c>
      <c r="O67" s="178"/>
      <c r="P67" s="178"/>
      <c r="Q67" s="178"/>
      <c r="R67" s="178"/>
      <c r="S67" s="258"/>
    </row>
    <row r="68" spans="1:20" ht="16.2" customHeight="1">
      <c r="A68" s="9" t="s">
        <v>39</v>
      </c>
      <c r="B68" s="83" t="s">
        <v>33</v>
      </c>
      <c r="C68" s="200"/>
      <c r="D68" s="83"/>
      <c r="E68" s="83"/>
      <c r="F68" s="26"/>
      <c r="G68" s="26"/>
      <c r="H68" s="26">
        <f>F67+G67+H67</f>
        <v>736</v>
      </c>
      <c r="I68" s="10"/>
      <c r="J68" s="10"/>
      <c r="K68" s="10"/>
      <c r="L68" s="10">
        <f>L64+L48+L31+L15+L10</f>
        <v>18</v>
      </c>
      <c r="M68" s="10"/>
      <c r="N68" s="263" t="s">
        <v>266</v>
      </c>
      <c r="O68" s="263"/>
      <c r="P68" s="263"/>
      <c r="Q68" s="263" t="s">
        <v>267</v>
      </c>
      <c r="R68" s="263" t="s">
        <v>268</v>
      </c>
      <c r="S68" s="258"/>
      <c r="T68"/>
    </row>
    <row r="69" spans="1:20" ht="16.2" customHeight="1">
      <c r="A69" s="9"/>
      <c r="B69" s="83" t="s">
        <v>34</v>
      </c>
      <c r="C69" s="200"/>
      <c r="D69" s="83"/>
      <c r="E69" s="83"/>
      <c r="F69" s="26"/>
      <c r="G69" s="26"/>
      <c r="H69" s="26">
        <f>K67</f>
        <v>10</v>
      </c>
      <c r="I69" s="10"/>
      <c r="J69" s="10"/>
      <c r="K69" s="52" t="s">
        <v>269</v>
      </c>
      <c r="L69" s="53"/>
      <c r="M69" s="53"/>
      <c r="N69" s="263">
        <f>SUM(B50,B33,B17,B4)</f>
        <v>26</v>
      </c>
      <c r="O69" s="263"/>
      <c r="P69" s="263">
        <v>26</v>
      </c>
      <c r="Q69" s="263">
        <f>B62+B47+B30+B14</f>
        <v>26</v>
      </c>
      <c r="R69" s="263">
        <f>Q69+N69</f>
        <v>52</v>
      </c>
      <c r="S69" s="258" t="s">
        <v>62</v>
      </c>
      <c r="T69"/>
    </row>
    <row r="70" spans="1:20" ht="16.2" customHeight="1">
      <c r="A70" s="9"/>
      <c r="B70" s="83" t="s">
        <v>333</v>
      </c>
      <c r="C70" s="200"/>
      <c r="D70" s="83"/>
      <c r="E70" s="83"/>
      <c r="F70" s="26"/>
      <c r="G70" s="26"/>
      <c r="H70" s="26">
        <f>SUM(M67:N67)</f>
        <v>40</v>
      </c>
      <c r="I70" s="10"/>
      <c r="J70" s="10"/>
      <c r="K70" s="29" t="s">
        <v>59</v>
      </c>
      <c r="L70" s="30"/>
      <c r="M70" s="30"/>
      <c r="N70" s="36">
        <v>25</v>
      </c>
      <c r="O70" s="35"/>
      <c r="P70" s="36">
        <v>25</v>
      </c>
      <c r="Q70" s="36">
        <v>25</v>
      </c>
      <c r="R70" s="35"/>
      <c r="S70" s="258"/>
      <c r="T70"/>
    </row>
    <row r="71" spans="1:20" ht="16.2" customHeight="1">
      <c r="A71" s="9"/>
      <c r="B71" s="83" t="s">
        <v>37</v>
      </c>
      <c r="C71" s="200"/>
      <c r="D71" s="83"/>
      <c r="E71" s="83"/>
      <c r="F71" s="26"/>
      <c r="G71" s="26"/>
      <c r="H71" s="26">
        <f>I67</f>
        <v>14</v>
      </c>
      <c r="I71" s="10"/>
      <c r="J71" s="10"/>
      <c r="K71" s="32" t="s">
        <v>46</v>
      </c>
      <c r="L71" s="96"/>
      <c r="M71" s="33"/>
      <c r="N71" s="34"/>
      <c r="O71" s="33"/>
      <c r="P71" s="34"/>
      <c r="Q71" s="34"/>
      <c r="R71" s="33"/>
      <c r="S71" s="258"/>
      <c r="T71"/>
    </row>
    <row r="72" spans="1:20" ht="16.2" customHeight="1">
      <c r="A72" s="9"/>
      <c r="B72" s="82" t="s">
        <v>334</v>
      </c>
      <c r="C72" s="201"/>
      <c r="D72" s="82"/>
      <c r="E72" s="82"/>
      <c r="F72" s="10"/>
      <c r="G72" s="10"/>
      <c r="H72" s="10">
        <f>SUM(H68,H69)</f>
        <v>746</v>
      </c>
      <c r="I72" s="10"/>
      <c r="J72" s="10"/>
      <c r="K72" s="32">
        <f>H72/P70</f>
        <v>29.84</v>
      </c>
      <c r="L72" s="35"/>
      <c r="M72" s="35"/>
      <c r="N72" s="34"/>
      <c r="O72" s="35"/>
      <c r="P72" s="34"/>
      <c r="Q72" s="34"/>
      <c r="R72" s="33"/>
      <c r="S72" s="258"/>
      <c r="T72"/>
    </row>
    <row r="73" spans="1:20" ht="16.2" customHeight="1">
      <c r="A73" s="9"/>
      <c r="B73" s="83" t="s">
        <v>43</v>
      </c>
      <c r="C73" s="201"/>
      <c r="D73" s="82"/>
      <c r="E73" s="82"/>
      <c r="F73" s="10"/>
      <c r="G73" s="10"/>
      <c r="H73" s="10">
        <v>4</v>
      </c>
      <c r="I73" s="10"/>
      <c r="J73" s="10"/>
      <c r="K73" s="32"/>
      <c r="L73" s="35"/>
      <c r="M73" s="35"/>
      <c r="N73" s="36"/>
      <c r="O73" s="35"/>
      <c r="P73" s="36"/>
      <c r="Q73" s="36"/>
      <c r="R73" s="35"/>
      <c r="S73" s="258"/>
      <c r="T73"/>
    </row>
    <row r="74" spans="1:20" ht="16.2" customHeight="1">
      <c r="A74" s="9"/>
      <c r="B74" s="83" t="s">
        <v>63</v>
      </c>
      <c r="C74" s="201"/>
      <c r="D74" s="82"/>
      <c r="E74" s="82"/>
      <c r="F74" s="10"/>
      <c r="G74" s="10"/>
      <c r="H74" s="10">
        <v>0</v>
      </c>
      <c r="I74" s="10"/>
      <c r="J74" s="10"/>
      <c r="K74" s="32"/>
      <c r="L74" s="35"/>
      <c r="M74" s="35"/>
      <c r="N74" s="36"/>
      <c r="O74" s="35"/>
      <c r="P74" s="36"/>
      <c r="Q74" s="36"/>
      <c r="R74" s="35"/>
      <c r="S74" s="258"/>
      <c r="T74"/>
    </row>
    <row r="75" spans="1:20" ht="16.2" customHeight="1">
      <c r="A75" s="9"/>
      <c r="B75" s="83" t="s">
        <v>44</v>
      </c>
      <c r="C75" s="201"/>
      <c r="D75" s="82"/>
      <c r="E75" s="82"/>
      <c r="F75" s="10"/>
      <c r="G75" s="10"/>
      <c r="H75" s="10">
        <f>H76-H72-H73-H74-H71</f>
        <v>146</v>
      </c>
      <c r="I75" s="10"/>
      <c r="J75" s="10"/>
      <c r="K75" s="37">
        <f>H75/P70</f>
        <v>5.84</v>
      </c>
      <c r="L75" s="35"/>
      <c r="M75" s="35"/>
      <c r="N75" s="34"/>
      <c r="O75" s="35"/>
      <c r="P75" s="34"/>
      <c r="Q75" s="34"/>
      <c r="R75" s="33"/>
      <c r="S75" s="258"/>
      <c r="T75"/>
    </row>
    <row r="76" spans="1:20" ht="16.2" customHeight="1">
      <c r="A76" s="9"/>
      <c r="B76" s="82" t="s">
        <v>224</v>
      </c>
      <c r="C76" s="201"/>
      <c r="D76" s="82"/>
      <c r="E76" s="82"/>
      <c r="F76" s="10"/>
      <c r="G76" s="10"/>
      <c r="H76" s="10">
        <f>P69*35</f>
        <v>910</v>
      </c>
      <c r="I76" s="10"/>
      <c r="J76" s="10"/>
      <c r="K76" s="41">
        <f>H76/P69</f>
        <v>35</v>
      </c>
      <c r="L76" s="39"/>
      <c r="M76" s="39"/>
      <c r="N76" s="40"/>
      <c r="O76" s="39"/>
      <c r="P76" s="40"/>
      <c r="Q76" s="40"/>
      <c r="R76" s="35"/>
      <c r="S76" s="258"/>
      <c r="T76"/>
    </row>
    <row r="77" spans="1:20" ht="16.2" customHeight="1">
      <c r="A77" s="9"/>
      <c r="B77" s="84"/>
      <c r="C77" s="202"/>
      <c r="D77" s="84"/>
      <c r="E77" s="84"/>
      <c r="F77" s="28"/>
      <c r="G77" s="27"/>
      <c r="H77" s="27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258"/>
      <c r="T77"/>
    </row>
    <row r="78" spans="1:20" ht="16.2" customHeight="1">
      <c r="F78" s="28"/>
      <c r="G78" s="27"/>
      <c r="H78" s="15" t="s">
        <v>225</v>
      </c>
      <c r="I78" s="27"/>
      <c r="J78" s="27"/>
      <c r="K78" s="27"/>
      <c r="L78" s="15">
        <f>L67</f>
        <v>42</v>
      </c>
      <c r="M78" s="27"/>
      <c r="N78" s="27"/>
      <c r="O78" s="27"/>
      <c r="P78" s="27"/>
      <c r="Q78" s="27"/>
      <c r="R78" s="27"/>
      <c r="S78" s="258"/>
      <c r="T78"/>
    </row>
    <row r="79" spans="1:20" ht="16.2" customHeight="1">
      <c r="F79" s="28"/>
      <c r="G79" s="27"/>
      <c r="H79" s="15" t="s">
        <v>36</v>
      </c>
      <c r="I79" s="27"/>
      <c r="J79" s="27"/>
      <c r="K79" s="27"/>
      <c r="L79" s="15">
        <f>L68</f>
        <v>18</v>
      </c>
      <c r="M79" s="27"/>
      <c r="N79" s="27">
        <f>SUM(N80:N83)</f>
        <v>43</v>
      </c>
      <c r="O79" s="27"/>
      <c r="P79" s="27">
        <f>SUM(P80:P83)+G77</f>
        <v>18</v>
      </c>
      <c r="Q79" s="27">
        <f>SUM(Q80:Q83)+H77</f>
        <v>18</v>
      </c>
      <c r="R79" s="27"/>
      <c r="S79" s="258"/>
      <c r="T79"/>
    </row>
    <row r="80" spans="1:20" ht="16.2" customHeight="1">
      <c r="I80" s="27" t="s">
        <v>95</v>
      </c>
      <c r="J80" s="27"/>
      <c r="K80" s="27"/>
      <c r="L80" s="15" t="s">
        <v>91</v>
      </c>
      <c r="M80" s="15"/>
      <c r="N80" s="15">
        <f>L12</f>
        <v>6</v>
      </c>
      <c r="O80" s="15"/>
      <c r="P80" s="15">
        <f>L15+L10</f>
        <v>3</v>
      </c>
      <c r="Q80" s="15">
        <f>L15+L10</f>
        <v>3</v>
      </c>
      <c r="R80" s="15"/>
      <c r="S80" s="258"/>
      <c r="T80"/>
    </row>
    <row r="81" spans="1:20" ht="16.2" customHeight="1">
      <c r="I81" s="27"/>
      <c r="J81" s="27"/>
      <c r="K81" s="27"/>
      <c r="L81" s="15" t="s">
        <v>92</v>
      </c>
      <c r="M81" s="15"/>
      <c r="N81" s="15">
        <f>L28</f>
        <v>10</v>
      </c>
      <c r="O81" s="15"/>
      <c r="P81" s="15">
        <f>L31</f>
        <v>4</v>
      </c>
      <c r="Q81" s="15">
        <f>L31</f>
        <v>4</v>
      </c>
      <c r="R81" s="15"/>
      <c r="S81" s="258"/>
      <c r="T81"/>
    </row>
    <row r="82" spans="1:20" ht="16.2" customHeight="1">
      <c r="I82" s="27"/>
      <c r="J82" s="27"/>
      <c r="K82" s="27"/>
      <c r="L82" s="15" t="s">
        <v>93</v>
      </c>
      <c r="M82" s="15"/>
      <c r="N82" s="15">
        <f>L45</f>
        <v>13</v>
      </c>
      <c r="O82" s="15"/>
      <c r="P82" s="15">
        <f>L48</f>
        <v>6</v>
      </c>
      <c r="Q82" s="15">
        <f>L48</f>
        <v>6</v>
      </c>
      <c r="R82" s="15"/>
      <c r="S82" s="258"/>
      <c r="T82"/>
    </row>
    <row r="83" spans="1:20" ht="16.2" customHeight="1">
      <c r="I83" s="27"/>
      <c r="J83" s="27"/>
      <c r="K83" s="27"/>
      <c r="L83" s="15" t="s">
        <v>94</v>
      </c>
      <c r="M83" s="15"/>
      <c r="N83" s="15">
        <f>L60+L63</f>
        <v>14</v>
      </c>
      <c r="O83" s="15"/>
      <c r="P83" s="15">
        <f>L64</f>
        <v>5</v>
      </c>
      <c r="Q83" s="15">
        <f>L64</f>
        <v>5</v>
      </c>
      <c r="R83" s="15"/>
      <c r="T83"/>
    </row>
    <row r="84" spans="1:20" ht="16.2" customHeight="1">
      <c r="B84" s="77" t="s">
        <v>64</v>
      </c>
      <c r="C84" s="80" t="s">
        <v>61</v>
      </c>
      <c r="N84" s="1">
        <f>SUM(N80:N83)</f>
        <v>43</v>
      </c>
      <c r="Q84" s="1">
        <f>SUM(Q80:Q83)</f>
        <v>18</v>
      </c>
      <c r="T84"/>
    </row>
    <row r="85" spans="1:20" ht="16.2" customHeight="1">
      <c r="B85" s="77" t="s">
        <v>64</v>
      </c>
      <c r="C85" s="80" t="s">
        <v>61</v>
      </c>
      <c r="T85"/>
    </row>
    <row r="87" spans="1:20" ht="16.2" customHeight="1">
      <c r="A87" s="95" t="s">
        <v>228</v>
      </c>
      <c r="B87" s="195" t="s">
        <v>199</v>
      </c>
      <c r="C87" s="195"/>
    </row>
    <row r="88" spans="1:20" ht="16.2" customHeight="1">
      <c r="A88" t="s">
        <v>442</v>
      </c>
      <c r="B88" s="238" t="s">
        <v>439</v>
      </c>
      <c r="C88" s="238"/>
    </row>
    <row r="89" spans="1:20" ht="16.2" customHeight="1">
      <c r="A89" t="s">
        <v>218</v>
      </c>
      <c r="B89" s="236" t="s">
        <v>200</v>
      </c>
      <c r="C89" s="236"/>
    </row>
    <row r="90" spans="1:20" ht="16.2" customHeight="1">
      <c r="A90" t="s">
        <v>222</v>
      </c>
      <c r="B90" s="235" t="s">
        <v>216</v>
      </c>
      <c r="C90" s="235"/>
    </row>
    <row r="91" spans="1:20" ht="16.2" customHeight="1">
      <c r="A91" t="s">
        <v>299</v>
      </c>
      <c r="B91" s="210" t="s">
        <v>430</v>
      </c>
      <c r="C91" s="412"/>
    </row>
    <row r="92" spans="1:20" ht="16.2" customHeight="1">
      <c r="B92" s="60"/>
    </row>
    <row r="93" spans="1:20" ht="16.2" customHeight="1">
      <c r="A93" t="s">
        <v>219</v>
      </c>
      <c r="B93" s="237" t="s">
        <v>202</v>
      </c>
      <c r="C93" s="237"/>
    </row>
    <row r="94" spans="1:20" ht="16.2" customHeight="1">
      <c r="A94" t="s">
        <v>441</v>
      </c>
      <c r="B94" s="238" t="s">
        <v>440</v>
      </c>
      <c r="C94" s="238"/>
    </row>
    <row r="95" spans="1:20" ht="16.2" customHeight="1">
      <c r="A95" t="s">
        <v>220</v>
      </c>
      <c r="B95" s="209" t="s">
        <v>201</v>
      </c>
      <c r="C95" s="209"/>
    </row>
    <row r="96" spans="1:20" ht="16.2" customHeight="1">
      <c r="A96" t="s">
        <v>221</v>
      </c>
      <c r="B96" s="210" t="s">
        <v>215</v>
      </c>
      <c r="C96" s="210"/>
    </row>
    <row r="97" spans="1:3" ht="16.2" customHeight="1">
      <c r="A97" t="s">
        <v>223</v>
      </c>
      <c r="B97" s="235" t="s">
        <v>217</v>
      </c>
      <c r="C97" s="235"/>
    </row>
  </sheetData>
  <phoneticPr fontId="8" type="noConversion"/>
  <conditionalFormatting sqref="D87:E1048576">
    <cfRule type="cellIs" dxfId="20" priority="10" operator="equal">
      <formula>"Info"</formula>
    </cfRule>
  </conditionalFormatting>
  <conditionalFormatting sqref="D85:E86">
    <cfRule type="cellIs" dxfId="19" priority="2" operator="equal">
      <formula>"Info"</formula>
    </cfRule>
  </conditionalFormatting>
  <conditionalFormatting sqref="D68:E84">
    <cfRule type="cellIs" dxfId="18" priority="1" operator="equal">
      <formula>"Info"</formula>
    </cfRule>
  </conditionalFormatting>
  <pageMargins left="0.39370078740157483" right="0.19685039370078741" top="1.1023622047244095" bottom="0.35433070866141736" header="0.31496062992125984" footer="0.19685039370078741"/>
  <pageSetup paperSize="9" scale="52" firstPageNumber="0" orientation="portrait" r:id="rId1"/>
  <headerFooter>
    <oddHeader>&amp;L&amp;"+,Normal"&amp;14 3TCA-Promotion 2017-20&amp;R&amp;G</oddHeader>
    <oddFooter>&amp;L&amp;F&amp;R&amp;D</oddFooter>
  </headerFooter>
  <legacyDrawingHF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4:E66"/>
  <sheetViews>
    <sheetView topLeftCell="A34" workbookViewId="0">
      <selection activeCell="B73" sqref="B73"/>
    </sheetView>
  </sheetViews>
  <sheetFormatPr baseColWidth="10" defaultRowHeight="14.4"/>
  <cols>
    <col min="2" max="2" width="24.6640625" customWidth="1"/>
    <col min="3" max="3" width="43.6640625" customWidth="1"/>
    <col min="5" max="5" width="11.44140625" style="1"/>
  </cols>
  <sheetData>
    <row r="4" spans="2:5" ht="21">
      <c r="C4" s="222" t="s">
        <v>239</v>
      </c>
    </row>
    <row r="6" spans="2:5" ht="18">
      <c r="B6" s="223" t="s">
        <v>199</v>
      </c>
      <c r="C6" s="223" t="s">
        <v>240</v>
      </c>
      <c r="D6" s="223" t="s">
        <v>226</v>
      </c>
      <c r="E6" s="223" t="s">
        <v>25</v>
      </c>
    </row>
    <row r="8" spans="2:5" ht="15" thickBot="1">
      <c r="B8" s="232" t="s">
        <v>274</v>
      </c>
      <c r="C8" s="232" t="s">
        <v>298</v>
      </c>
      <c r="D8" s="232"/>
      <c r="E8" s="233">
        <f>SUM(E9:E12)</f>
        <v>8</v>
      </c>
    </row>
    <row r="9" spans="2:5">
      <c r="B9" s="225"/>
      <c r="C9" s="226" t="s">
        <v>272</v>
      </c>
      <c r="D9" s="226" t="s">
        <v>273</v>
      </c>
      <c r="E9" s="229">
        <v>0</v>
      </c>
    </row>
    <row r="10" spans="2:5">
      <c r="B10" s="224"/>
      <c r="C10" s="103" t="s">
        <v>60</v>
      </c>
      <c r="D10" s="103" t="s">
        <v>114</v>
      </c>
      <c r="E10" s="230"/>
    </row>
    <row r="11" spans="2:5">
      <c r="B11" s="224"/>
      <c r="C11" s="103" t="s">
        <v>278</v>
      </c>
      <c r="D11" s="103" t="s">
        <v>279</v>
      </c>
      <c r="E11" s="230">
        <v>8</v>
      </c>
    </row>
    <row r="12" spans="2:5" ht="15" thickBot="1">
      <c r="B12" s="227"/>
      <c r="C12" s="228" t="s">
        <v>281</v>
      </c>
      <c r="D12" s="228" t="s">
        <v>282</v>
      </c>
      <c r="E12" s="231">
        <v>0</v>
      </c>
    </row>
    <row r="14" spans="2:5" ht="15" thickBot="1">
      <c r="B14" s="232" t="s">
        <v>444</v>
      </c>
      <c r="C14" s="232" t="s">
        <v>443</v>
      </c>
      <c r="D14" s="232"/>
      <c r="E14" s="233">
        <f>SUM(E15:E17)</f>
        <v>7</v>
      </c>
    </row>
    <row r="15" spans="2:5">
      <c r="B15" s="225"/>
      <c r="C15" s="226" t="s">
        <v>326</v>
      </c>
      <c r="D15" s="226" t="s">
        <v>302</v>
      </c>
      <c r="E15" s="229">
        <v>2</v>
      </c>
    </row>
    <row r="16" spans="2:5">
      <c r="B16" s="224"/>
      <c r="C16" s="103" t="s">
        <v>323</v>
      </c>
      <c r="D16" s="103" t="s">
        <v>301</v>
      </c>
      <c r="E16" s="230">
        <v>2</v>
      </c>
    </row>
    <row r="17" spans="2:5" ht="15" thickBot="1">
      <c r="B17" s="227"/>
      <c r="C17" s="228" t="s">
        <v>373</v>
      </c>
      <c r="D17" s="228" t="s">
        <v>327</v>
      </c>
      <c r="E17" s="231">
        <v>3</v>
      </c>
    </row>
    <row r="19" spans="2:5" ht="15" thickBot="1">
      <c r="B19" s="232" t="s">
        <v>447</v>
      </c>
      <c r="C19" s="232" t="s">
        <v>446</v>
      </c>
      <c r="D19" s="232"/>
      <c r="E19" s="233">
        <f>SUM(E20:E22)</f>
        <v>6</v>
      </c>
    </row>
    <row r="20" spans="2:5">
      <c r="B20" s="225"/>
      <c r="C20" s="226" t="s">
        <v>433</v>
      </c>
      <c r="D20" s="226" t="s">
        <v>432</v>
      </c>
      <c r="E20" s="229">
        <v>2</v>
      </c>
    </row>
    <row r="21" spans="2:5">
      <c r="B21" s="224"/>
      <c r="C21" s="103" t="s">
        <v>339</v>
      </c>
      <c r="D21" s="103" t="s">
        <v>16</v>
      </c>
      <c r="E21" s="230">
        <v>2</v>
      </c>
    </row>
    <row r="22" spans="2:5" ht="15" thickBot="1">
      <c r="B22" s="227"/>
      <c r="C22" s="228" t="s">
        <v>388</v>
      </c>
      <c r="D22" s="228" t="s">
        <v>372</v>
      </c>
      <c r="E22" s="231">
        <v>2</v>
      </c>
    </row>
    <row r="24" spans="2:5" ht="15" thickBot="1">
      <c r="B24" s="232" t="s">
        <v>450</v>
      </c>
      <c r="C24" s="232" t="s">
        <v>445</v>
      </c>
      <c r="D24" s="232"/>
      <c r="E24" s="233">
        <f>SUM(E25:E27)</f>
        <v>4</v>
      </c>
    </row>
    <row r="25" spans="2:5">
      <c r="B25" s="225"/>
      <c r="C25" s="226" t="s">
        <v>205</v>
      </c>
      <c r="D25" s="226" t="s">
        <v>206</v>
      </c>
      <c r="E25" s="229">
        <v>2</v>
      </c>
    </row>
    <row r="26" spans="2:5">
      <c r="B26" s="224"/>
      <c r="C26" s="103" t="s">
        <v>340</v>
      </c>
      <c r="D26" s="103" t="s">
        <v>12</v>
      </c>
      <c r="E26" s="230">
        <v>0</v>
      </c>
    </row>
    <row r="27" spans="2:5" ht="15" thickBot="1">
      <c r="B27" s="227"/>
      <c r="C27" s="228" t="s">
        <v>203</v>
      </c>
      <c r="D27" s="228" t="s">
        <v>204</v>
      </c>
      <c r="E27" s="231">
        <v>2</v>
      </c>
    </row>
    <row r="29" spans="2:5" ht="15" thickBot="1">
      <c r="B29" s="232" t="s">
        <v>276</v>
      </c>
      <c r="C29" s="232" t="s">
        <v>299</v>
      </c>
      <c r="D29" s="232"/>
      <c r="E29" s="233">
        <f>SUM(E30:E32)</f>
        <v>3</v>
      </c>
    </row>
    <row r="30" spans="2:5">
      <c r="B30" s="225"/>
      <c r="C30" s="226" t="s">
        <v>256</v>
      </c>
      <c r="D30" s="226" t="s">
        <v>275</v>
      </c>
      <c r="E30" s="229">
        <v>0</v>
      </c>
    </row>
    <row r="31" spans="2:5">
      <c r="B31" s="224"/>
      <c r="C31" s="103" t="s">
        <v>418</v>
      </c>
      <c r="D31" s="103" t="s">
        <v>415</v>
      </c>
      <c r="E31" s="230">
        <v>1</v>
      </c>
    </row>
    <row r="32" spans="2:5" ht="15" thickBot="1">
      <c r="B32" s="227"/>
      <c r="C32" s="228" t="s">
        <v>256</v>
      </c>
      <c r="D32" s="228" t="s">
        <v>275</v>
      </c>
      <c r="E32" s="231">
        <v>2</v>
      </c>
    </row>
    <row r="37" spans="2:5" ht="21">
      <c r="C37" s="222" t="s">
        <v>241</v>
      </c>
    </row>
    <row r="39" spans="2:5" ht="18">
      <c r="B39" s="223" t="s">
        <v>199</v>
      </c>
      <c r="C39" s="223" t="s">
        <v>240</v>
      </c>
      <c r="D39" s="223" t="s">
        <v>226</v>
      </c>
      <c r="E39" s="223" t="s">
        <v>25</v>
      </c>
    </row>
    <row r="41" spans="2:5" ht="15" thickBot="1">
      <c r="B41" s="232" t="s">
        <v>291</v>
      </c>
      <c r="C41" s="232" t="s">
        <v>221</v>
      </c>
      <c r="D41" s="232"/>
      <c r="E41" s="233">
        <f>SUM(E42:E45)</f>
        <v>7</v>
      </c>
    </row>
    <row r="42" spans="2:5">
      <c r="B42" s="225"/>
      <c r="C42" s="226" t="s">
        <v>27</v>
      </c>
      <c r="D42" s="226" t="s">
        <v>293</v>
      </c>
      <c r="E42" s="229">
        <v>0</v>
      </c>
    </row>
    <row r="43" spans="2:5">
      <c r="B43" s="224"/>
      <c r="C43" s="103" t="s">
        <v>417</v>
      </c>
      <c r="D43" s="103" t="s">
        <v>416</v>
      </c>
      <c r="E43" s="230">
        <v>4</v>
      </c>
    </row>
    <row r="44" spans="2:5">
      <c r="B44" s="224"/>
      <c r="C44" s="103" t="s">
        <v>257</v>
      </c>
      <c r="D44" s="103" t="s">
        <v>292</v>
      </c>
      <c r="E44" s="230">
        <v>2</v>
      </c>
    </row>
    <row r="45" spans="2:5" ht="15" thickBot="1">
      <c r="B45" s="227"/>
      <c r="C45" s="228" t="s">
        <v>27</v>
      </c>
      <c r="D45" s="228" t="s">
        <v>293</v>
      </c>
      <c r="E45" s="231">
        <v>1</v>
      </c>
    </row>
    <row r="47" spans="2:5" ht="15" thickBot="1">
      <c r="B47" s="232" t="s">
        <v>286</v>
      </c>
      <c r="C47" s="232" t="s">
        <v>300</v>
      </c>
      <c r="D47" s="232"/>
      <c r="E47" s="233">
        <f>SUM(E48:E50)</f>
        <v>15</v>
      </c>
    </row>
    <row r="48" spans="2:5">
      <c r="B48" s="225"/>
      <c r="C48" s="226" t="s">
        <v>284</v>
      </c>
      <c r="D48" s="226" t="s">
        <v>285</v>
      </c>
      <c r="E48" s="229">
        <v>7</v>
      </c>
    </row>
    <row r="49" spans="2:5">
      <c r="B49" s="224"/>
      <c r="C49" s="103" t="s">
        <v>288</v>
      </c>
      <c r="D49" s="103" t="s">
        <v>289</v>
      </c>
      <c r="E49" s="230">
        <v>0</v>
      </c>
    </row>
    <row r="50" spans="2:5" ht="15" thickBot="1">
      <c r="B50" s="227"/>
      <c r="C50" s="228" t="s">
        <v>341</v>
      </c>
      <c r="D50" s="228" t="s">
        <v>296</v>
      </c>
      <c r="E50" s="231">
        <v>8</v>
      </c>
    </row>
    <row r="52" spans="2:5" ht="15" thickBot="1">
      <c r="B52" s="232" t="s">
        <v>449</v>
      </c>
      <c r="C52" s="232" t="s">
        <v>448</v>
      </c>
      <c r="D52" s="232"/>
      <c r="E52" s="233">
        <f>SUM(E53:E55)</f>
        <v>5</v>
      </c>
    </row>
    <row r="53" spans="2:5">
      <c r="B53" s="225"/>
      <c r="C53" s="226" t="s">
        <v>305</v>
      </c>
      <c r="D53" s="226" t="s">
        <v>306</v>
      </c>
      <c r="E53" s="229">
        <v>2</v>
      </c>
    </row>
    <row r="54" spans="2:5">
      <c r="B54" s="224"/>
      <c r="C54" s="103" t="s">
        <v>325</v>
      </c>
      <c r="D54" s="103" t="s">
        <v>307</v>
      </c>
      <c r="E54" s="230">
        <v>2</v>
      </c>
    </row>
    <row r="55" spans="2:5" ht="15" thickBot="1">
      <c r="B55" s="227"/>
      <c r="C55" s="228" t="s">
        <v>324</v>
      </c>
      <c r="D55" s="228" t="s">
        <v>308</v>
      </c>
      <c r="E55" s="231">
        <v>1</v>
      </c>
    </row>
    <row r="57" spans="2:5" ht="15" thickBot="1">
      <c r="B57" s="232" t="s">
        <v>451</v>
      </c>
      <c r="C57" s="232" t="s">
        <v>344</v>
      </c>
      <c r="D57" s="232"/>
      <c r="E57" s="233">
        <f>SUM(E58:E59)</f>
        <v>5</v>
      </c>
    </row>
    <row r="58" spans="2:5">
      <c r="B58" s="225"/>
      <c r="C58" s="226" t="s">
        <v>342</v>
      </c>
      <c r="D58" s="226" t="s">
        <v>14</v>
      </c>
      <c r="E58" s="229">
        <v>2</v>
      </c>
    </row>
    <row r="59" spans="2:5" ht="15" thickBot="1">
      <c r="B59" s="227"/>
      <c r="C59" s="228" t="s">
        <v>343</v>
      </c>
      <c r="D59" s="228" t="s">
        <v>17</v>
      </c>
      <c r="E59" s="231">
        <v>3</v>
      </c>
    </row>
    <row r="64" spans="2:5" ht="18">
      <c r="B64" s="58" t="s">
        <v>242</v>
      </c>
      <c r="C64" s="58">
        <v>37</v>
      </c>
    </row>
    <row r="66" spans="2:3" ht="18">
      <c r="B66" s="58" t="s">
        <v>243</v>
      </c>
      <c r="C66" s="58">
        <v>23</v>
      </c>
    </row>
  </sheetData>
  <pageMargins left="0.7" right="0.7" top="0.75" bottom="0.75" header="0.3" footer="0.3"/>
  <pageSetup paperSize="9" scale="7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pageSetUpPr fitToPage="1"/>
  </sheetPr>
  <dimension ref="A1:V82"/>
  <sheetViews>
    <sheetView topLeftCell="A2" zoomScaleNormal="100" zoomScalePageLayoutView="55" workbookViewId="0">
      <selection activeCell="G41" sqref="G41"/>
    </sheetView>
  </sheetViews>
  <sheetFormatPr baseColWidth="10" defaultRowHeight="14.4"/>
  <cols>
    <col min="1" max="1" width="42.33203125" customWidth="1"/>
    <col min="2" max="2" width="12.5546875" customWidth="1"/>
    <col min="3" max="3" width="7.109375" style="77" customWidth="1"/>
    <col min="4" max="4" width="12.33203125" customWidth="1"/>
    <col min="5" max="5" width="19.44140625" style="77" customWidth="1"/>
    <col min="6" max="6" width="6.109375" customWidth="1"/>
    <col min="7" max="7" width="7.109375" customWidth="1"/>
    <col min="8" max="8" width="7.44140625" customWidth="1"/>
    <col min="9" max="11" width="5.6640625" customWidth="1"/>
    <col min="12" max="12" width="4.44140625" customWidth="1"/>
    <col min="13" max="14" width="6.33203125" style="1" customWidth="1"/>
    <col min="15" max="15" width="5.33203125" style="1" customWidth="1"/>
    <col min="16" max="16" width="7.44140625" style="1" customWidth="1"/>
    <col min="17" max="17" width="7.88671875" style="1" customWidth="1"/>
    <col min="18" max="18" width="6.33203125" style="1" customWidth="1"/>
    <col min="19" max="19" width="52.33203125" style="77" customWidth="1"/>
  </cols>
  <sheetData>
    <row r="1" spans="1:22" ht="19.2" customHeight="1">
      <c r="A1" s="14" t="s">
        <v>338</v>
      </c>
      <c r="B1" s="13"/>
      <c r="C1" s="14"/>
      <c r="D1" s="13"/>
      <c r="E1" s="14"/>
      <c r="F1" s="13"/>
      <c r="G1" s="13"/>
      <c r="H1" s="13"/>
      <c r="I1" s="13"/>
      <c r="J1" s="13"/>
      <c r="K1" s="13"/>
      <c r="L1" s="13"/>
      <c r="M1" s="13"/>
      <c r="O1" s="13"/>
      <c r="S1" s="414"/>
    </row>
    <row r="2" spans="1:22" ht="19.2" customHeight="1">
      <c r="S2" s="414"/>
    </row>
    <row r="3" spans="1:22" ht="19.2" customHeight="1">
      <c r="A3" s="98" t="s">
        <v>119</v>
      </c>
      <c r="S3" s="414"/>
    </row>
    <row r="4" spans="1:22" s="8" customFormat="1" ht="19.2" customHeight="1">
      <c r="A4" s="264" t="s">
        <v>270</v>
      </c>
      <c r="B4" s="265">
        <v>7</v>
      </c>
      <c r="C4" s="266" t="s">
        <v>113</v>
      </c>
      <c r="D4" s="267" t="s">
        <v>113</v>
      </c>
      <c r="E4" s="266" t="s">
        <v>113</v>
      </c>
      <c r="F4" s="267"/>
      <c r="G4" s="267"/>
      <c r="H4" s="267"/>
      <c r="I4" s="267"/>
      <c r="J4" s="267"/>
      <c r="K4" s="267"/>
      <c r="L4" s="267"/>
      <c r="M4" s="267"/>
      <c r="N4" s="268"/>
      <c r="O4" s="267"/>
      <c r="P4" s="268"/>
      <c r="Q4" s="268"/>
      <c r="R4" s="269"/>
      <c r="S4" s="415"/>
      <c r="T4" s="25"/>
      <c r="U4" s="8" t="s">
        <v>25</v>
      </c>
      <c r="V4" s="8" t="s">
        <v>456</v>
      </c>
    </row>
    <row r="5" spans="1:22" s="432" customFormat="1" ht="30.6" customHeight="1">
      <c r="A5" s="427" t="s">
        <v>271</v>
      </c>
      <c r="B5" s="427" t="s">
        <v>226</v>
      </c>
      <c r="C5" s="428" t="s">
        <v>0</v>
      </c>
      <c r="D5" s="427" t="s">
        <v>18</v>
      </c>
      <c r="E5" s="427" t="s">
        <v>199</v>
      </c>
      <c r="F5" s="429" t="s">
        <v>22</v>
      </c>
      <c r="G5" s="429" t="s">
        <v>23</v>
      </c>
      <c r="H5" s="429" t="s">
        <v>24</v>
      </c>
      <c r="I5" s="429" t="s">
        <v>53</v>
      </c>
      <c r="J5" s="429"/>
      <c r="K5" s="429" t="s">
        <v>369</v>
      </c>
      <c r="L5" s="429" t="s">
        <v>25</v>
      </c>
      <c r="M5" s="429" t="s">
        <v>212</v>
      </c>
      <c r="N5" s="429" t="s">
        <v>211</v>
      </c>
      <c r="O5" s="429" t="s">
        <v>20</v>
      </c>
      <c r="P5" s="429" t="s">
        <v>21</v>
      </c>
      <c r="Q5" s="429" t="s">
        <v>207</v>
      </c>
      <c r="R5" s="316"/>
      <c r="S5" s="431"/>
      <c r="T5" s="432" t="s">
        <v>267</v>
      </c>
      <c r="U5" s="432">
        <v>23</v>
      </c>
      <c r="V5" s="432">
        <v>18</v>
      </c>
    </row>
    <row r="6" spans="1:22" s="8" customFormat="1" ht="19.2" customHeight="1">
      <c r="A6" s="23" t="s">
        <v>272</v>
      </c>
      <c r="B6" s="89" t="s">
        <v>273</v>
      </c>
      <c r="C6" s="89" t="s">
        <v>4</v>
      </c>
      <c r="D6" s="180" t="s">
        <v>97</v>
      </c>
      <c r="E6" s="270" t="s">
        <v>274</v>
      </c>
      <c r="F6" s="43"/>
      <c r="G6" s="3">
        <v>4</v>
      </c>
      <c r="H6" s="43"/>
      <c r="K6" s="3"/>
      <c r="L6" s="43">
        <v>0</v>
      </c>
      <c r="M6" s="3"/>
      <c r="N6" s="3"/>
      <c r="O6" s="3"/>
      <c r="P6" s="3"/>
      <c r="Q6" s="3"/>
      <c r="R6" s="100">
        <f>SUM(F6:K6)</f>
        <v>4</v>
      </c>
      <c r="S6" s="416" t="s">
        <v>87</v>
      </c>
      <c r="T6" s="25"/>
    </row>
    <row r="7" spans="1:22" s="8" customFormat="1" ht="19.2" customHeight="1">
      <c r="A7" s="23" t="s">
        <v>60</v>
      </c>
      <c r="B7" s="89" t="s">
        <v>114</v>
      </c>
      <c r="C7" s="89" t="s">
        <v>4</v>
      </c>
      <c r="D7" s="180" t="s">
        <v>97</v>
      </c>
      <c r="E7" s="270" t="s">
        <v>274</v>
      </c>
      <c r="F7" s="43"/>
      <c r="G7" s="43"/>
      <c r="H7" s="43"/>
      <c r="I7" s="3">
        <v>6</v>
      </c>
      <c r="J7" s="100"/>
      <c r="K7" s="100"/>
      <c r="L7" s="43"/>
      <c r="M7" s="3"/>
      <c r="N7" s="3"/>
      <c r="O7" s="3"/>
      <c r="P7" s="3"/>
      <c r="Q7" s="3"/>
      <c r="R7" s="100">
        <f t="shared" ref="R7:R12" si="0">SUM(F7:K7)</f>
        <v>6</v>
      </c>
      <c r="S7" s="416" t="s">
        <v>370</v>
      </c>
      <c r="T7" s="25" t="s">
        <v>455</v>
      </c>
      <c r="U7" s="8">
        <v>27</v>
      </c>
      <c r="V7" s="8">
        <v>526</v>
      </c>
    </row>
    <row r="8" spans="1:22" ht="19.2" customHeight="1">
      <c r="A8" s="21" t="s">
        <v>326</v>
      </c>
      <c r="B8" s="2" t="s">
        <v>302</v>
      </c>
      <c r="C8" s="271" t="s">
        <v>11</v>
      </c>
      <c r="D8" s="180" t="s">
        <v>98</v>
      </c>
      <c r="E8" s="378" t="s">
        <v>444</v>
      </c>
      <c r="F8" s="43">
        <v>18</v>
      </c>
      <c r="G8" s="43">
        <v>18</v>
      </c>
      <c r="H8" s="43">
        <v>8</v>
      </c>
      <c r="I8" s="43"/>
      <c r="J8" s="43"/>
      <c r="K8" s="5"/>
      <c r="L8" s="3">
        <v>2</v>
      </c>
      <c r="M8" s="3">
        <v>1</v>
      </c>
      <c r="N8" s="3">
        <v>2</v>
      </c>
      <c r="O8" s="3" t="s">
        <v>110</v>
      </c>
      <c r="P8" s="3" t="s">
        <v>110</v>
      </c>
      <c r="Q8" s="3" t="s">
        <v>110</v>
      </c>
      <c r="R8" s="100">
        <f>SUM(F8:K8)</f>
        <v>44</v>
      </c>
      <c r="S8" s="416" t="s">
        <v>41</v>
      </c>
      <c r="T8" s="18"/>
    </row>
    <row r="9" spans="1:22" ht="19.2" customHeight="1">
      <c r="A9" s="21" t="s">
        <v>323</v>
      </c>
      <c r="B9" s="2" t="s">
        <v>301</v>
      </c>
      <c r="C9" s="271" t="s">
        <v>303</v>
      </c>
      <c r="D9" s="180" t="s">
        <v>98</v>
      </c>
      <c r="E9" s="424" t="s">
        <v>444</v>
      </c>
      <c r="F9" s="43">
        <v>0</v>
      </c>
      <c r="G9" s="43"/>
      <c r="H9" s="43"/>
      <c r="I9" s="43"/>
      <c r="J9" s="43"/>
      <c r="K9" s="43">
        <v>32</v>
      </c>
      <c r="L9" s="3">
        <v>2</v>
      </c>
      <c r="M9" s="3"/>
      <c r="N9" s="3"/>
      <c r="O9" s="3"/>
      <c r="P9" s="3"/>
      <c r="Q9" s="3"/>
      <c r="R9" s="100">
        <f>SUM(F9:K9)</f>
        <v>32</v>
      </c>
      <c r="S9" s="416" t="s">
        <v>371</v>
      </c>
      <c r="T9" s="18" t="s">
        <v>454</v>
      </c>
      <c r="U9">
        <v>10</v>
      </c>
      <c r="V9">
        <v>148</v>
      </c>
    </row>
    <row r="10" spans="1:22" ht="21.6" customHeight="1">
      <c r="A10" s="21" t="s">
        <v>433</v>
      </c>
      <c r="B10" s="2" t="s">
        <v>432</v>
      </c>
      <c r="C10" s="271" t="s">
        <v>209</v>
      </c>
      <c r="D10" s="180" t="s">
        <v>19</v>
      </c>
      <c r="E10" s="433" t="s">
        <v>447</v>
      </c>
      <c r="F10" s="3">
        <v>8</v>
      </c>
      <c r="G10" s="3">
        <v>14</v>
      </c>
      <c r="H10" s="3">
        <v>12</v>
      </c>
      <c r="I10" s="3"/>
      <c r="J10" s="3"/>
      <c r="K10" s="3"/>
      <c r="L10" s="3">
        <v>2</v>
      </c>
      <c r="M10" s="16"/>
      <c r="N10" s="17">
        <v>2</v>
      </c>
      <c r="O10" s="16" t="s">
        <v>110</v>
      </c>
      <c r="P10" s="17" t="s">
        <v>110</v>
      </c>
      <c r="Q10" s="17" t="s">
        <v>110</v>
      </c>
      <c r="R10" s="100">
        <f>SUM(F10:K10)</f>
        <v>34</v>
      </c>
      <c r="S10" s="416" t="s">
        <v>290</v>
      </c>
    </row>
    <row r="11" spans="1:22" ht="19.2" customHeight="1">
      <c r="A11" s="159" t="s">
        <v>205</v>
      </c>
      <c r="B11" s="124" t="s">
        <v>206</v>
      </c>
      <c r="C11" s="152" t="s">
        <v>13</v>
      </c>
      <c r="D11" s="180" t="s">
        <v>99</v>
      </c>
      <c r="E11" s="286" t="s">
        <v>450</v>
      </c>
      <c r="F11" s="153">
        <v>10</v>
      </c>
      <c r="G11" s="153">
        <v>8</v>
      </c>
      <c r="H11" s="153">
        <v>20</v>
      </c>
      <c r="I11" s="153"/>
      <c r="J11" s="153"/>
      <c r="K11" s="153">
        <v>4</v>
      </c>
      <c r="L11" s="149">
        <v>2</v>
      </c>
      <c r="M11" s="206"/>
      <c r="N11" s="149">
        <v>4</v>
      </c>
      <c r="O11" s="206" t="s">
        <v>110</v>
      </c>
      <c r="P11" s="149" t="s">
        <v>110</v>
      </c>
      <c r="Q11" s="149" t="s">
        <v>110</v>
      </c>
      <c r="R11" s="100">
        <f>SUM(F11:K11)</f>
        <v>42</v>
      </c>
      <c r="S11" s="416"/>
      <c r="T11" t="s">
        <v>457</v>
      </c>
      <c r="U11">
        <v>4</v>
      </c>
      <c r="V11">
        <v>50</v>
      </c>
    </row>
    <row r="12" spans="1:22" ht="19.2" customHeight="1">
      <c r="A12" s="272" t="s">
        <v>256</v>
      </c>
      <c r="B12" s="88" t="s">
        <v>275</v>
      </c>
      <c r="C12" s="88" t="s">
        <v>26</v>
      </c>
      <c r="D12" s="180" t="s">
        <v>97</v>
      </c>
      <c r="E12" s="273" t="s">
        <v>276</v>
      </c>
      <c r="F12" s="3"/>
      <c r="G12" s="43">
        <v>14</v>
      </c>
      <c r="H12" s="3"/>
      <c r="I12" s="3"/>
      <c r="J12" s="3"/>
      <c r="K12" s="3"/>
      <c r="L12" s="3">
        <v>0</v>
      </c>
      <c r="M12" s="3"/>
      <c r="N12" s="3"/>
      <c r="O12" s="3"/>
      <c r="P12" s="3"/>
      <c r="Q12" s="3"/>
      <c r="R12" s="100">
        <f t="shared" si="0"/>
        <v>14</v>
      </c>
      <c r="T12" t="s">
        <v>458</v>
      </c>
      <c r="U12">
        <v>1</v>
      </c>
      <c r="V12">
        <v>28</v>
      </c>
    </row>
    <row r="13" spans="1:22" ht="19.2" customHeight="1">
      <c r="A13" s="73"/>
      <c r="B13" s="71" t="s">
        <v>431</v>
      </c>
      <c r="C13" s="274"/>
      <c r="D13" s="72">
        <f>SUM(F13:K13)</f>
        <v>176</v>
      </c>
      <c r="E13" s="181">
        <f>SUM(F13:K13)</f>
        <v>176</v>
      </c>
      <c r="F13" s="74">
        <f t="shared" ref="F13:N13" si="1">SUM(F6:F12)</f>
        <v>36</v>
      </c>
      <c r="G13" s="74">
        <f t="shared" si="1"/>
        <v>58</v>
      </c>
      <c r="H13" s="74">
        <f t="shared" si="1"/>
        <v>40</v>
      </c>
      <c r="I13" s="74">
        <f t="shared" si="1"/>
        <v>6</v>
      </c>
      <c r="J13" s="74"/>
      <c r="K13" s="74">
        <f t="shared" si="1"/>
        <v>36</v>
      </c>
      <c r="L13" s="74">
        <f t="shared" si="1"/>
        <v>8</v>
      </c>
      <c r="M13" s="74">
        <f t="shared" si="1"/>
        <v>1</v>
      </c>
      <c r="N13" s="74">
        <f t="shared" si="1"/>
        <v>8</v>
      </c>
      <c r="O13" s="74"/>
      <c r="P13" s="74"/>
      <c r="Q13" s="74"/>
      <c r="R13" s="101">
        <f>SUM(R6:R12)</f>
        <v>176</v>
      </c>
      <c r="S13" s="416" t="s">
        <v>83</v>
      </c>
      <c r="T13" s="18" t="s">
        <v>459</v>
      </c>
      <c r="U13">
        <v>5</v>
      </c>
      <c r="V13">
        <v>70</v>
      </c>
    </row>
    <row r="14" spans="1:22" s="76" customFormat="1" ht="19.2" customHeight="1">
      <c r="A14" s="85"/>
      <c r="B14" s="90"/>
      <c r="C14" s="87"/>
      <c r="D14" s="87">
        <f>(B4*5-2)*6</f>
        <v>198</v>
      </c>
      <c r="E14" s="164">
        <f>(B4*9)*3</f>
        <v>189</v>
      </c>
      <c r="F14" s="164">
        <f>35*B4</f>
        <v>245</v>
      </c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101"/>
      <c r="S14" s="417"/>
      <c r="T14" s="75"/>
    </row>
    <row r="15" spans="1:22" s="76" customFormat="1" ht="19.2" customHeight="1">
      <c r="A15" s="275" t="s">
        <v>277</v>
      </c>
      <c r="B15" s="276">
        <v>10</v>
      </c>
      <c r="C15" s="277"/>
      <c r="D15" s="278" t="s">
        <v>113</v>
      </c>
      <c r="E15" s="277" t="s">
        <v>113</v>
      </c>
      <c r="F15" s="278"/>
      <c r="G15" s="278"/>
      <c r="H15" s="278"/>
      <c r="I15" s="278"/>
      <c r="J15" s="278"/>
      <c r="K15" s="278"/>
      <c r="L15" s="278"/>
      <c r="M15" s="278"/>
      <c r="N15" s="278"/>
      <c r="O15" s="278"/>
      <c r="P15" s="278"/>
      <c r="Q15" s="278"/>
      <c r="R15" s="278"/>
      <c r="S15" s="417"/>
      <c r="T15" s="75"/>
    </row>
    <row r="16" spans="1:22" s="212" customFormat="1" ht="19.2" customHeight="1">
      <c r="A16" s="21" t="s">
        <v>278</v>
      </c>
      <c r="B16" s="91" t="s">
        <v>279</v>
      </c>
      <c r="C16" s="88"/>
      <c r="D16" s="186" t="s">
        <v>100</v>
      </c>
      <c r="E16" s="270" t="s">
        <v>274</v>
      </c>
      <c r="F16" s="3"/>
      <c r="G16" s="43"/>
      <c r="H16" s="3"/>
      <c r="I16" s="3"/>
      <c r="J16" s="3"/>
      <c r="K16" s="3"/>
      <c r="L16" s="3">
        <v>8</v>
      </c>
      <c r="M16" s="3"/>
      <c r="N16" s="3"/>
      <c r="O16" s="3"/>
      <c r="P16" s="3"/>
      <c r="Q16" s="3" t="s">
        <v>111</v>
      </c>
      <c r="R16" s="100"/>
      <c r="S16" s="418"/>
      <c r="T16" s="211"/>
    </row>
    <row r="17" spans="1:20" ht="19.2" customHeight="1">
      <c r="A17" s="68"/>
      <c r="B17" s="92"/>
      <c r="C17" s="81"/>
      <c r="D17" s="81"/>
      <c r="E17" s="81"/>
      <c r="F17" s="69"/>
      <c r="G17" s="69"/>
      <c r="H17" s="69"/>
      <c r="I17" s="69"/>
      <c r="J17" s="69"/>
      <c r="K17" s="69"/>
      <c r="L17" s="69"/>
      <c r="M17" s="69"/>
      <c r="N17" s="55"/>
      <c r="O17" s="69"/>
      <c r="P17" s="55"/>
      <c r="Q17" s="55"/>
      <c r="R17" s="102"/>
      <c r="S17" s="416"/>
      <c r="T17" s="18"/>
    </row>
    <row r="18" spans="1:20" ht="19.2" customHeight="1">
      <c r="A18" s="279" t="s">
        <v>280</v>
      </c>
      <c r="B18" s="280">
        <v>7</v>
      </c>
      <c r="C18" s="281"/>
      <c r="D18" s="280" t="s">
        <v>113</v>
      </c>
      <c r="E18" s="281" t="s">
        <v>113</v>
      </c>
      <c r="F18" s="280"/>
      <c r="G18" s="280"/>
      <c r="H18" s="280"/>
      <c r="I18" s="280"/>
      <c r="J18" s="280"/>
      <c r="K18" s="280"/>
      <c r="L18" s="280"/>
      <c r="M18" s="280"/>
      <c r="N18" s="282"/>
      <c r="O18" s="280"/>
      <c r="P18" s="282"/>
      <c r="Q18" s="282"/>
      <c r="R18" s="283"/>
      <c r="S18" s="419"/>
      <c r="T18" s="18"/>
    </row>
    <row r="19" spans="1:20" s="250" customFormat="1" ht="38.4" customHeight="1">
      <c r="A19" s="427" t="s">
        <v>271</v>
      </c>
      <c r="B19" s="427" t="s">
        <v>226</v>
      </c>
      <c r="C19" s="428" t="s">
        <v>0</v>
      </c>
      <c r="D19" s="427" t="s">
        <v>18</v>
      </c>
      <c r="E19" s="427" t="s">
        <v>199</v>
      </c>
      <c r="F19" s="429" t="s">
        <v>22</v>
      </c>
      <c r="G19" s="429" t="s">
        <v>23</v>
      </c>
      <c r="H19" s="429" t="s">
        <v>24</v>
      </c>
      <c r="I19" s="429" t="s">
        <v>53</v>
      </c>
      <c r="J19" s="429"/>
      <c r="K19" s="429" t="s">
        <v>28</v>
      </c>
      <c r="L19" s="429" t="s">
        <v>25</v>
      </c>
      <c r="M19" s="429" t="s">
        <v>212</v>
      </c>
      <c r="N19" s="429" t="s">
        <v>211</v>
      </c>
      <c r="O19" s="429" t="s">
        <v>20</v>
      </c>
      <c r="P19" s="429" t="s">
        <v>21</v>
      </c>
      <c r="Q19" s="429" t="s">
        <v>21</v>
      </c>
      <c r="R19" s="316"/>
      <c r="S19" s="430"/>
    </row>
    <row r="20" spans="1:20" s="285" customFormat="1" ht="19.2" customHeight="1">
      <c r="A20" s="23" t="s">
        <v>281</v>
      </c>
      <c r="B20" s="89" t="s">
        <v>282</v>
      </c>
      <c r="C20" s="89" t="s">
        <v>304</v>
      </c>
      <c r="D20" s="180" t="s">
        <v>97</v>
      </c>
      <c r="E20" s="270" t="s">
        <v>274</v>
      </c>
      <c r="F20" s="43"/>
      <c r="G20" s="3">
        <v>4</v>
      </c>
      <c r="H20" s="43"/>
      <c r="I20" s="8"/>
      <c r="J20" s="8"/>
      <c r="K20" s="3"/>
      <c r="L20" s="3">
        <v>0</v>
      </c>
      <c r="M20" s="3"/>
      <c r="N20" s="3"/>
      <c r="O20" s="3"/>
      <c r="P20" s="3"/>
      <c r="Q20" s="3"/>
      <c r="R20" s="100">
        <f t="shared" ref="R20:R28" si="2">SUM(F20:K20)</f>
        <v>4</v>
      </c>
      <c r="S20" s="420"/>
      <c r="T20" s="284"/>
    </row>
    <row r="21" spans="1:20" s="8" customFormat="1" ht="22.95" customHeight="1">
      <c r="A21" s="21" t="s">
        <v>373</v>
      </c>
      <c r="B21" s="2" t="s">
        <v>327</v>
      </c>
      <c r="C21" s="88" t="s">
        <v>10</v>
      </c>
      <c r="D21" s="180" t="s">
        <v>98</v>
      </c>
      <c r="E21" s="424" t="s">
        <v>444</v>
      </c>
      <c r="F21" s="3">
        <v>24</v>
      </c>
      <c r="G21" s="3">
        <v>26</v>
      </c>
      <c r="H21" s="3">
        <v>12</v>
      </c>
      <c r="I21" s="3"/>
      <c r="J21" s="3"/>
      <c r="K21" s="3"/>
      <c r="L21" s="3">
        <v>3</v>
      </c>
      <c r="M21" s="16"/>
      <c r="N21" s="17">
        <v>4</v>
      </c>
      <c r="O21" s="16" t="s">
        <v>111</v>
      </c>
      <c r="P21" s="17" t="s">
        <v>110</v>
      </c>
      <c r="Q21" s="17" t="s">
        <v>110</v>
      </c>
      <c r="R21" s="100">
        <f>SUM(F21:K21)</f>
        <v>62</v>
      </c>
      <c r="S21" s="416" t="s">
        <v>87</v>
      </c>
      <c r="T21" s="25"/>
    </row>
    <row r="22" spans="1:20" ht="21" customHeight="1">
      <c r="A22" s="23" t="s">
        <v>112</v>
      </c>
      <c r="B22" s="2" t="s">
        <v>12</v>
      </c>
      <c r="C22" s="89" t="s">
        <v>400</v>
      </c>
      <c r="D22" s="180" t="s">
        <v>99</v>
      </c>
      <c r="E22" s="286" t="s">
        <v>450</v>
      </c>
      <c r="F22" s="43">
        <v>18</v>
      </c>
      <c r="G22" s="44">
        <v>4</v>
      </c>
      <c r="H22" s="43"/>
      <c r="I22" s="45"/>
      <c r="J22" s="45"/>
      <c r="K22" s="45"/>
      <c r="L22" s="3">
        <v>0</v>
      </c>
      <c r="M22" s="16"/>
      <c r="N22" s="17"/>
      <c r="O22" s="16"/>
      <c r="P22" s="17"/>
      <c r="Q22" s="17"/>
      <c r="R22" s="100">
        <f t="shared" si="2"/>
        <v>22</v>
      </c>
      <c r="S22" s="416" t="s">
        <v>328</v>
      </c>
    </row>
    <row r="23" spans="1:20" ht="27" customHeight="1">
      <c r="A23" s="21" t="s">
        <v>203</v>
      </c>
      <c r="B23" s="117" t="s">
        <v>204</v>
      </c>
      <c r="C23" s="287" t="s">
        <v>13</v>
      </c>
      <c r="D23" s="180" t="s">
        <v>99</v>
      </c>
      <c r="E23" s="286" t="s">
        <v>450</v>
      </c>
      <c r="F23" s="158">
        <v>12</v>
      </c>
      <c r="G23" s="158">
        <v>4</v>
      </c>
      <c r="H23" s="158">
        <v>24</v>
      </c>
      <c r="I23" s="158"/>
      <c r="J23" s="158"/>
      <c r="K23" s="158">
        <v>4</v>
      </c>
      <c r="L23" s="157">
        <v>2</v>
      </c>
      <c r="M23" s="205"/>
      <c r="N23" s="157">
        <v>4</v>
      </c>
      <c r="O23" s="205" t="s">
        <v>110</v>
      </c>
      <c r="P23" s="157" t="s">
        <v>110</v>
      </c>
      <c r="Q23" s="157" t="s">
        <v>110</v>
      </c>
      <c r="R23" s="100">
        <f t="shared" si="2"/>
        <v>44</v>
      </c>
      <c r="S23" s="416" t="s">
        <v>79</v>
      </c>
    </row>
    <row r="24" spans="1:20" ht="19.2" customHeight="1">
      <c r="A24" s="19" t="s">
        <v>102</v>
      </c>
      <c r="B24" s="2" t="s">
        <v>16</v>
      </c>
      <c r="C24" s="88" t="s">
        <v>209</v>
      </c>
      <c r="D24" s="180" t="s">
        <v>19</v>
      </c>
      <c r="E24" s="425" t="s">
        <v>447</v>
      </c>
      <c r="F24" s="3">
        <v>10</v>
      </c>
      <c r="G24" s="3">
        <v>12</v>
      </c>
      <c r="H24" s="3">
        <v>12</v>
      </c>
      <c r="I24" s="3"/>
      <c r="J24" s="3"/>
      <c r="K24" s="3"/>
      <c r="L24" s="3">
        <v>2</v>
      </c>
      <c r="M24" s="12"/>
      <c r="N24" s="11">
        <v>2</v>
      </c>
      <c r="O24" s="12" t="s">
        <v>111</v>
      </c>
      <c r="P24" s="11" t="s">
        <v>110</v>
      </c>
      <c r="Q24" s="11" t="s">
        <v>110</v>
      </c>
      <c r="R24" s="100">
        <f>SUM(F24:K24)</f>
        <v>34</v>
      </c>
      <c r="S24" s="416" t="s">
        <v>29</v>
      </c>
    </row>
    <row r="25" spans="1:20" ht="25.2" customHeight="1">
      <c r="A25" s="21" t="s">
        <v>388</v>
      </c>
      <c r="B25" s="2" t="s">
        <v>372</v>
      </c>
      <c r="C25" s="88" t="s">
        <v>89</v>
      </c>
      <c r="D25" s="180" t="s">
        <v>19</v>
      </c>
      <c r="E25" s="433" t="s">
        <v>447</v>
      </c>
      <c r="F25" s="3">
        <v>6</v>
      </c>
      <c r="G25" s="11">
        <v>14</v>
      </c>
      <c r="H25" s="3">
        <v>8</v>
      </c>
      <c r="I25" s="3"/>
      <c r="J25" s="3"/>
      <c r="K25" s="3"/>
      <c r="L25" s="11">
        <v>2</v>
      </c>
      <c r="M25" s="12"/>
      <c r="N25" s="11">
        <v>0</v>
      </c>
      <c r="O25" s="12" t="s">
        <v>110</v>
      </c>
      <c r="P25" s="11" t="s">
        <v>110</v>
      </c>
      <c r="Q25" s="11" t="s">
        <v>110</v>
      </c>
      <c r="R25" s="100">
        <f t="shared" ref="R25" si="3">SUM(F25:K25)</f>
        <v>28</v>
      </c>
      <c r="S25" s="416" t="s">
        <v>374</v>
      </c>
    </row>
    <row r="26" spans="1:20" ht="34.950000000000003" customHeight="1">
      <c r="A26" s="21" t="s">
        <v>418</v>
      </c>
      <c r="B26" s="2" t="s">
        <v>415</v>
      </c>
      <c r="C26" s="88" t="s">
        <v>401</v>
      </c>
      <c r="D26" s="180" t="s">
        <v>97</v>
      </c>
      <c r="E26" s="273" t="s">
        <v>276</v>
      </c>
      <c r="F26" s="3"/>
      <c r="G26" s="3">
        <v>28</v>
      </c>
      <c r="H26" s="3"/>
      <c r="I26" s="3"/>
      <c r="J26" s="3"/>
      <c r="K26" s="3"/>
      <c r="L26" s="3">
        <v>1</v>
      </c>
      <c r="M26" s="12"/>
      <c r="N26" s="11">
        <v>2</v>
      </c>
      <c r="O26" s="12" t="s">
        <v>111</v>
      </c>
      <c r="P26" s="11" t="s">
        <v>110</v>
      </c>
      <c r="Q26" s="11" t="s">
        <v>110</v>
      </c>
      <c r="R26" s="100">
        <f t="shared" si="2"/>
        <v>28</v>
      </c>
      <c r="S26" s="416"/>
    </row>
    <row r="27" spans="1:20" ht="19.2" customHeight="1">
      <c r="A27" s="272" t="s">
        <v>256</v>
      </c>
      <c r="B27" s="88" t="s">
        <v>275</v>
      </c>
      <c r="C27" s="88" t="s">
        <v>26</v>
      </c>
      <c r="D27" s="180" t="s">
        <v>97</v>
      </c>
      <c r="E27" s="273" t="s">
        <v>276</v>
      </c>
      <c r="F27" s="3"/>
      <c r="G27" s="43">
        <v>16</v>
      </c>
      <c r="H27" s="3"/>
      <c r="I27" s="3"/>
      <c r="J27" s="3"/>
      <c r="K27" s="3"/>
      <c r="L27" s="3">
        <v>2</v>
      </c>
      <c r="M27" s="3"/>
      <c r="N27" s="3">
        <v>0</v>
      </c>
      <c r="O27" s="3" t="s">
        <v>110</v>
      </c>
      <c r="P27" s="3" t="s">
        <v>111</v>
      </c>
      <c r="Q27" s="3" t="s">
        <v>110</v>
      </c>
      <c r="R27" s="100">
        <f t="shared" si="2"/>
        <v>16</v>
      </c>
      <c r="S27" s="416" t="s">
        <v>83</v>
      </c>
      <c r="T27" s="18"/>
    </row>
    <row r="28" spans="1:20" ht="19.2" customHeight="1">
      <c r="A28" s="20" t="s">
        <v>27</v>
      </c>
      <c r="B28" s="2" t="s">
        <v>465</v>
      </c>
      <c r="C28" s="88" t="s">
        <v>210</v>
      </c>
      <c r="D28" s="180" t="s">
        <v>97</v>
      </c>
      <c r="E28" s="273" t="s">
        <v>291</v>
      </c>
      <c r="F28" s="3"/>
      <c r="G28" s="43">
        <v>8</v>
      </c>
      <c r="H28" s="3"/>
      <c r="I28" s="3"/>
      <c r="J28" s="3"/>
      <c r="K28" s="3"/>
      <c r="L28" s="3">
        <v>0</v>
      </c>
      <c r="M28" s="11"/>
      <c r="N28" s="11">
        <v>0</v>
      </c>
      <c r="O28" s="11" t="s">
        <v>110</v>
      </c>
      <c r="P28" s="11" t="s">
        <v>111</v>
      </c>
      <c r="Q28" s="11" t="s">
        <v>110</v>
      </c>
      <c r="R28" s="100">
        <f t="shared" si="2"/>
        <v>8</v>
      </c>
      <c r="S28" s="421" t="s">
        <v>419</v>
      </c>
    </row>
    <row r="29" spans="1:20" s="76" customFormat="1" ht="19.2" customHeight="1">
      <c r="A29" s="73"/>
      <c r="B29" s="71" t="s">
        <v>104</v>
      </c>
      <c r="C29" s="274"/>
      <c r="D29" s="72">
        <f>SUM(F29:K29)</f>
        <v>238</v>
      </c>
      <c r="E29" s="181">
        <f>SUM(F29:K29)</f>
        <v>238</v>
      </c>
      <c r="F29" s="74">
        <f t="shared" ref="F29:N29" si="4">SUM(F20:F27)</f>
        <v>70</v>
      </c>
      <c r="G29" s="74">
        <f t="shared" si="4"/>
        <v>108</v>
      </c>
      <c r="H29" s="74">
        <f t="shared" si="4"/>
        <v>56</v>
      </c>
      <c r="I29" s="74">
        <f t="shared" si="4"/>
        <v>0</v>
      </c>
      <c r="J29" s="74"/>
      <c r="K29" s="74">
        <f t="shared" si="4"/>
        <v>4</v>
      </c>
      <c r="L29" s="74">
        <f t="shared" si="4"/>
        <v>12</v>
      </c>
      <c r="M29" s="74">
        <f t="shared" si="4"/>
        <v>0</v>
      </c>
      <c r="N29" s="74">
        <f t="shared" si="4"/>
        <v>12</v>
      </c>
      <c r="O29" s="74"/>
      <c r="P29" s="74"/>
      <c r="Q29" s="74"/>
      <c r="R29" s="101">
        <f>SUM(R20:R27)</f>
        <v>238</v>
      </c>
      <c r="S29" s="417"/>
      <c r="T29" s="75"/>
    </row>
    <row r="30" spans="1:20" s="76" customFormat="1" ht="19.2" customHeight="1">
      <c r="A30" s="85"/>
      <c r="B30" s="90"/>
      <c r="C30" s="87"/>
      <c r="D30" s="87">
        <f>(B18*5-2)*6</f>
        <v>198</v>
      </c>
      <c r="E30" s="164">
        <f>(B18*9)*3</f>
        <v>189</v>
      </c>
      <c r="F30" s="164">
        <f>35*B18</f>
        <v>245</v>
      </c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101"/>
      <c r="S30" s="417"/>
      <c r="T30" s="75"/>
    </row>
    <row r="31" spans="1:20" s="293" customFormat="1" ht="19.2" customHeight="1">
      <c r="A31" s="288" t="s">
        <v>283</v>
      </c>
      <c r="B31" s="289">
        <v>9</v>
      </c>
      <c r="C31" s="290"/>
      <c r="D31" s="291" t="s">
        <v>113</v>
      </c>
      <c r="E31" s="290" t="s">
        <v>113</v>
      </c>
      <c r="F31" s="291"/>
      <c r="G31" s="291"/>
      <c r="H31" s="291"/>
      <c r="I31" s="291"/>
      <c r="J31" s="291"/>
      <c r="K31" s="291"/>
      <c r="L31" s="291"/>
      <c r="M31" s="291"/>
      <c r="N31" s="291"/>
      <c r="O31" s="291"/>
      <c r="P31" s="291"/>
      <c r="Q31" s="291"/>
      <c r="R31" s="291"/>
      <c r="S31" s="422"/>
      <c r="T31" s="292"/>
    </row>
    <row r="32" spans="1:20" ht="19.2" customHeight="1">
      <c r="A32" s="21" t="s">
        <v>284</v>
      </c>
      <c r="B32" s="91" t="s">
        <v>285</v>
      </c>
      <c r="C32" s="88"/>
      <c r="D32" s="186" t="s">
        <v>100</v>
      </c>
      <c r="E32" s="377" t="s">
        <v>286</v>
      </c>
      <c r="F32" s="3"/>
      <c r="G32" s="43"/>
      <c r="H32" s="3"/>
      <c r="I32" s="3"/>
      <c r="J32" s="3"/>
      <c r="K32" s="3"/>
      <c r="L32" s="3">
        <v>7</v>
      </c>
      <c r="M32" s="3"/>
      <c r="N32" s="3"/>
      <c r="O32" s="3"/>
      <c r="P32" s="3"/>
      <c r="Q32" s="3" t="s">
        <v>111</v>
      </c>
      <c r="R32" s="100"/>
      <c r="S32" s="416"/>
      <c r="T32" s="18"/>
    </row>
    <row r="33" spans="1:20" ht="19.2" customHeight="1">
      <c r="A33" s="68"/>
      <c r="B33" s="92"/>
      <c r="C33" s="81"/>
      <c r="D33" s="81"/>
      <c r="E33" s="81"/>
      <c r="F33" s="69"/>
      <c r="G33" s="69"/>
      <c r="H33" s="69"/>
      <c r="I33" s="69"/>
      <c r="J33" s="69"/>
      <c r="K33" s="69"/>
      <c r="L33" s="69"/>
      <c r="M33" s="69"/>
      <c r="N33" s="55"/>
      <c r="O33" s="69"/>
      <c r="P33" s="55"/>
      <c r="Q33" s="55"/>
      <c r="R33" s="102"/>
      <c r="S33" s="419"/>
      <c r="T33" s="18"/>
    </row>
    <row r="34" spans="1:20" ht="19.2" customHeight="1">
      <c r="A34" s="264" t="s">
        <v>287</v>
      </c>
      <c r="B34" s="294">
        <v>9</v>
      </c>
      <c r="C34" s="295"/>
      <c r="D34" s="294" t="s">
        <v>113</v>
      </c>
      <c r="E34" s="295" t="s">
        <v>113</v>
      </c>
      <c r="F34" s="294"/>
      <c r="G34" s="294"/>
      <c r="H34" s="294"/>
      <c r="I34" s="294"/>
      <c r="J34" s="294"/>
      <c r="K34" s="294"/>
      <c r="L34" s="294"/>
      <c r="M34" s="294"/>
      <c r="N34" s="296"/>
      <c r="O34" s="294"/>
      <c r="P34" s="296"/>
      <c r="Q34" s="296"/>
      <c r="R34" s="297"/>
      <c r="S34" s="414"/>
    </row>
    <row r="35" spans="1:20" s="250" customFormat="1" ht="38.4" customHeight="1">
      <c r="A35" s="427" t="s">
        <v>271</v>
      </c>
      <c r="B35" s="427" t="s">
        <v>226</v>
      </c>
      <c r="C35" s="428" t="s">
        <v>0</v>
      </c>
      <c r="D35" s="427" t="s">
        <v>18</v>
      </c>
      <c r="E35" s="427" t="s">
        <v>199</v>
      </c>
      <c r="F35" s="429" t="s">
        <v>22</v>
      </c>
      <c r="G35" s="429" t="s">
        <v>23</v>
      </c>
      <c r="H35" s="429" t="s">
        <v>24</v>
      </c>
      <c r="I35" s="429" t="s">
        <v>53</v>
      </c>
      <c r="J35" s="429"/>
      <c r="K35" s="429" t="s">
        <v>28</v>
      </c>
      <c r="L35" s="429" t="s">
        <v>25</v>
      </c>
      <c r="M35" s="429" t="str">
        <f>M5</f>
        <v>dont Eval CC</v>
      </c>
      <c r="N35" s="429" t="str">
        <f>N5</f>
        <v>dont Eval DS</v>
      </c>
      <c r="O35" s="429" t="s">
        <v>20</v>
      </c>
      <c r="P35" s="429" t="s">
        <v>21</v>
      </c>
      <c r="Q35" s="429" t="s">
        <v>21</v>
      </c>
      <c r="R35" s="316"/>
      <c r="S35" s="430"/>
    </row>
    <row r="36" spans="1:20" s="8" customFormat="1" ht="19.2" customHeight="1">
      <c r="A36" s="23" t="s">
        <v>288</v>
      </c>
      <c r="B36" s="89" t="s">
        <v>289</v>
      </c>
      <c r="C36" s="89" t="s">
        <v>304</v>
      </c>
      <c r="D36" s="434" t="s">
        <v>97</v>
      </c>
      <c r="E36" s="435" t="s">
        <v>286</v>
      </c>
      <c r="F36" s="43"/>
      <c r="G36" s="3">
        <v>4</v>
      </c>
      <c r="H36" s="43"/>
      <c r="K36" s="3"/>
      <c r="L36" s="3">
        <v>0</v>
      </c>
      <c r="M36" s="3"/>
      <c r="N36" s="3"/>
      <c r="O36" s="3"/>
      <c r="P36" s="3"/>
      <c r="Q36" s="3"/>
      <c r="R36" s="100">
        <f t="shared" ref="R36:R44" si="5">SUM(F36:K36)</f>
        <v>4</v>
      </c>
      <c r="S36" s="416" t="s">
        <v>87</v>
      </c>
      <c r="T36" s="25"/>
    </row>
    <row r="37" spans="1:20" ht="19.2" customHeight="1">
      <c r="A37" s="25" t="s">
        <v>305</v>
      </c>
      <c r="B37" s="129" t="s">
        <v>306</v>
      </c>
      <c r="C37" s="77" t="s">
        <v>209</v>
      </c>
      <c r="E37" s="433" t="s">
        <v>449</v>
      </c>
      <c r="F37" s="369">
        <v>6</v>
      </c>
      <c r="G37" s="369">
        <v>12</v>
      </c>
      <c r="H37" s="369">
        <v>8</v>
      </c>
      <c r="I37" s="5"/>
      <c r="J37" s="5"/>
      <c r="K37" s="5"/>
      <c r="L37" s="370">
        <v>2</v>
      </c>
      <c r="M37" s="3"/>
      <c r="N37" s="3">
        <v>2</v>
      </c>
      <c r="O37" s="3"/>
      <c r="P37" s="3"/>
      <c r="Q37" s="3"/>
      <c r="R37" s="1">
        <f>SUM(F37:K37)</f>
        <v>26</v>
      </c>
      <c r="S37" s="416"/>
    </row>
    <row r="38" spans="1:20" ht="19.2" customHeight="1">
      <c r="A38" s="21" t="s">
        <v>325</v>
      </c>
      <c r="B38" s="2" t="s">
        <v>307</v>
      </c>
      <c r="C38" s="88" t="s">
        <v>11</v>
      </c>
      <c r="D38" s="434" t="s">
        <v>98</v>
      </c>
      <c r="E38" s="433" t="s">
        <v>449</v>
      </c>
      <c r="F38" s="3">
        <v>10</v>
      </c>
      <c r="G38" s="3">
        <v>8</v>
      </c>
      <c r="H38" s="3">
        <v>16</v>
      </c>
      <c r="I38" s="3"/>
      <c r="J38" s="3"/>
      <c r="K38" s="3"/>
      <c r="L38" s="3">
        <v>2</v>
      </c>
      <c r="M38" s="16"/>
      <c r="N38" s="17">
        <v>2</v>
      </c>
      <c r="O38" s="16" t="s">
        <v>110</v>
      </c>
      <c r="P38" s="17" t="s">
        <v>110</v>
      </c>
      <c r="Q38" s="17" t="s">
        <v>110</v>
      </c>
      <c r="R38" s="100">
        <f t="shared" ref="R38:R42" si="6">SUM(F38:K38)</f>
        <v>34</v>
      </c>
      <c r="S38" s="416" t="s">
        <v>51</v>
      </c>
    </row>
    <row r="39" spans="1:20" ht="19.2" customHeight="1">
      <c r="A39" s="21" t="s">
        <v>324</v>
      </c>
      <c r="B39" s="2" t="s">
        <v>308</v>
      </c>
      <c r="C39" s="88" t="s">
        <v>303</v>
      </c>
      <c r="D39" s="434"/>
      <c r="E39" s="433" t="s">
        <v>449</v>
      </c>
      <c r="F39" s="3">
        <v>10</v>
      </c>
      <c r="G39" s="3">
        <v>8</v>
      </c>
      <c r="H39" s="3">
        <v>4</v>
      </c>
      <c r="I39" s="3"/>
      <c r="J39" s="3"/>
      <c r="K39" s="3"/>
      <c r="L39" s="3">
        <v>1</v>
      </c>
      <c r="M39" s="16"/>
      <c r="N39" s="17">
        <v>2</v>
      </c>
      <c r="O39" s="16"/>
      <c r="P39" s="17"/>
      <c r="Q39" s="17"/>
      <c r="R39" s="100">
        <f t="shared" si="6"/>
        <v>22</v>
      </c>
      <c r="S39" s="416"/>
    </row>
    <row r="40" spans="1:20" ht="19.2" customHeight="1">
      <c r="A40" s="19" t="s">
        <v>50</v>
      </c>
      <c r="B40" s="2" t="s">
        <v>14</v>
      </c>
      <c r="C40" s="88" t="s">
        <v>90</v>
      </c>
      <c r="D40" s="180" t="s">
        <v>99</v>
      </c>
      <c r="E40" s="286" t="s">
        <v>451</v>
      </c>
      <c r="F40" s="3">
        <v>24</v>
      </c>
      <c r="G40" s="3">
        <v>12</v>
      </c>
      <c r="H40" s="3">
        <v>8</v>
      </c>
      <c r="I40" s="3"/>
      <c r="J40" s="3"/>
      <c r="K40" s="3"/>
      <c r="L40" s="3">
        <v>2</v>
      </c>
      <c r="M40" s="12"/>
      <c r="N40" s="11">
        <v>2</v>
      </c>
      <c r="O40" s="12" t="s">
        <v>110</v>
      </c>
      <c r="P40" s="11" t="s">
        <v>110</v>
      </c>
      <c r="Q40" s="11" t="s">
        <v>110</v>
      </c>
      <c r="R40" s="100">
        <f>SUM(F40:K40)</f>
        <v>44</v>
      </c>
      <c r="S40" s="416" t="s">
        <v>30</v>
      </c>
    </row>
    <row r="41" spans="1:20" ht="19.2" customHeight="1">
      <c r="A41" s="19" t="s">
        <v>101</v>
      </c>
      <c r="B41" s="2" t="s">
        <v>17</v>
      </c>
      <c r="C41" s="88" t="s">
        <v>213</v>
      </c>
      <c r="D41" s="180" t="s">
        <v>99</v>
      </c>
      <c r="E41" s="286" t="s">
        <v>451</v>
      </c>
      <c r="F41" s="3">
        <v>18</v>
      </c>
      <c r="G41" s="3">
        <v>18</v>
      </c>
      <c r="H41" s="3">
        <v>16</v>
      </c>
      <c r="I41" s="3"/>
      <c r="J41" s="3"/>
      <c r="K41" s="3"/>
      <c r="L41" s="3">
        <v>3</v>
      </c>
      <c r="M41" s="12"/>
      <c r="N41" s="11">
        <v>2</v>
      </c>
      <c r="O41" s="12" t="s">
        <v>110</v>
      </c>
      <c r="P41" s="11" t="s">
        <v>110</v>
      </c>
      <c r="Q41" s="11" t="s">
        <v>110</v>
      </c>
      <c r="R41" s="100">
        <f t="shared" si="6"/>
        <v>52</v>
      </c>
      <c r="S41" s="416" t="s">
        <v>30</v>
      </c>
    </row>
    <row r="42" spans="1:20" ht="27" customHeight="1">
      <c r="A42" s="21" t="s">
        <v>417</v>
      </c>
      <c r="B42" s="2" t="s">
        <v>416</v>
      </c>
      <c r="C42" s="89" t="s">
        <v>401</v>
      </c>
      <c r="D42" s="180" t="s">
        <v>97</v>
      </c>
      <c r="E42" s="273" t="s">
        <v>291</v>
      </c>
      <c r="F42" s="42"/>
      <c r="G42" s="43">
        <v>42</v>
      </c>
      <c r="H42" s="43">
        <v>0</v>
      </c>
      <c r="I42" s="43"/>
      <c r="J42" s="43"/>
      <c r="K42" s="43"/>
      <c r="L42" s="11">
        <v>4</v>
      </c>
      <c r="M42" s="16"/>
      <c r="N42" s="17">
        <v>0</v>
      </c>
      <c r="O42" s="16" t="s">
        <v>110</v>
      </c>
      <c r="P42" s="17" t="s">
        <v>111</v>
      </c>
      <c r="Q42" s="17" t="s">
        <v>111</v>
      </c>
      <c r="R42" s="100">
        <f t="shared" si="6"/>
        <v>42</v>
      </c>
      <c r="S42" s="416" t="s">
        <v>52</v>
      </c>
    </row>
    <row r="43" spans="1:20" ht="19.2" customHeight="1">
      <c r="A43" s="272" t="s">
        <v>257</v>
      </c>
      <c r="B43" s="88" t="s">
        <v>292</v>
      </c>
      <c r="C43" s="89" t="s">
        <v>26</v>
      </c>
      <c r="D43" s="180" t="s">
        <v>97</v>
      </c>
      <c r="E43" s="273" t="s">
        <v>291</v>
      </c>
      <c r="F43" s="43"/>
      <c r="G43" s="43">
        <v>20</v>
      </c>
      <c r="H43" s="3"/>
      <c r="I43" s="3"/>
      <c r="J43" s="3"/>
      <c r="K43" s="3"/>
      <c r="L43" s="3">
        <v>2</v>
      </c>
      <c r="M43" s="11"/>
      <c r="N43" s="11">
        <v>0</v>
      </c>
      <c r="O43" s="11" t="s">
        <v>110</v>
      </c>
      <c r="P43" s="11" t="s">
        <v>111</v>
      </c>
      <c r="Q43" s="11" t="s">
        <v>110</v>
      </c>
      <c r="R43" s="100">
        <f t="shared" si="5"/>
        <v>20</v>
      </c>
      <c r="S43" s="419"/>
    </row>
    <row r="44" spans="1:20" ht="19.2" customHeight="1">
      <c r="A44" s="20" t="s">
        <v>27</v>
      </c>
      <c r="B44" s="2" t="s">
        <v>466</v>
      </c>
      <c r="C44" s="88" t="s">
        <v>210</v>
      </c>
      <c r="D44" s="180" t="s">
        <v>97</v>
      </c>
      <c r="E44" s="273" t="s">
        <v>291</v>
      </c>
      <c r="F44" s="3"/>
      <c r="G44" s="43">
        <f>2*8+4</f>
        <v>20</v>
      </c>
      <c r="H44" s="3"/>
      <c r="I44" s="3"/>
      <c r="J44" s="3"/>
      <c r="K44" s="3"/>
      <c r="L44" s="3">
        <v>1</v>
      </c>
      <c r="M44" s="11"/>
      <c r="N44" s="11">
        <v>0</v>
      </c>
      <c r="O44" s="11" t="s">
        <v>110</v>
      </c>
      <c r="P44" s="11" t="s">
        <v>111</v>
      </c>
      <c r="Q44" s="11" t="s">
        <v>110</v>
      </c>
      <c r="R44" s="100">
        <f t="shared" si="5"/>
        <v>20</v>
      </c>
      <c r="S44" s="419"/>
    </row>
    <row r="45" spans="1:20" s="76" customFormat="1" ht="19.2" customHeight="1">
      <c r="A45" s="73"/>
      <c r="B45" s="71" t="s">
        <v>103</v>
      </c>
      <c r="C45" s="274"/>
      <c r="D45" s="72">
        <f>SUM(F45:K45)</f>
        <v>264</v>
      </c>
      <c r="E45" s="181">
        <f>SUM(F45:K45)</f>
        <v>264</v>
      </c>
      <c r="F45" s="74">
        <f t="shared" ref="F45:N45" si="7">SUM(F36:F44)</f>
        <v>68</v>
      </c>
      <c r="G45" s="74">
        <f t="shared" si="7"/>
        <v>144</v>
      </c>
      <c r="H45" s="74">
        <f t="shared" si="7"/>
        <v>52</v>
      </c>
      <c r="I45" s="74">
        <f t="shared" si="7"/>
        <v>0</v>
      </c>
      <c r="J45" s="74"/>
      <c r="K45" s="74">
        <f t="shared" si="7"/>
        <v>0</v>
      </c>
      <c r="L45" s="74">
        <f t="shared" si="7"/>
        <v>17</v>
      </c>
      <c r="M45" s="74">
        <f t="shared" si="7"/>
        <v>0</v>
      </c>
      <c r="N45" s="74">
        <f t="shared" si="7"/>
        <v>10</v>
      </c>
      <c r="O45" s="74"/>
      <c r="P45" s="74"/>
      <c r="Q45" s="74"/>
      <c r="R45" s="101">
        <f>SUM(R36:R44)</f>
        <v>264</v>
      </c>
      <c r="S45" s="417"/>
      <c r="T45" s="75"/>
    </row>
    <row r="46" spans="1:20" s="76" customFormat="1" ht="19.2" customHeight="1">
      <c r="A46" s="85"/>
      <c r="B46" s="90"/>
      <c r="C46" s="87"/>
      <c r="D46" s="87">
        <f>(B34*5-2)*6</f>
        <v>258</v>
      </c>
      <c r="E46" s="164">
        <f>(B34*9)*3</f>
        <v>243</v>
      </c>
      <c r="F46" s="164">
        <f>35*B34</f>
        <v>315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101"/>
      <c r="S46" s="417"/>
      <c r="T46" s="75"/>
    </row>
    <row r="47" spans="1:20" s="293" customFormat="1" ht="19.2" customHeight="1">
      <c r="A47" s="288" t="s">
        <v>294</v>
      </c>
      <c r="B47" s="289">
        <v>10</v>
      </c>
      <c r="C47" s="290"/>
      <c r="D47" s="291" t="s">
        <v>113</v>
      </c>
      <c r="E47" s="290" t="s">
        <v>113</v>
      </c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422"/>
      <c r="T47" s="292"/>
    </row>
    <row r="48" spans="1:20" ht="19.2" customHeight="1">
      <c r="A48" s="21" t="s">
        <v>295</v>
      </c>
      <c r="B48" s="91" t="s">
        <v>296</v>
      </c>
      <c r="C48" s="88"/>
      <c r="D48" s="186" t="s">
        <v>100</v>
      </c>
      <c r="E48" s="377" t="s">
        <v>286</v>
      </c>
      <c r="F48" s="3"/>
      <c r="G48" s="43"/>
      <c r="H48" s="3"/>
      <c r="I48" s="3"/>
      <c r="J48" s="3"/>
      <c r="K48" s="3"/>
      <c r="L48" s="3">
        <v>8</v>
      </c>
      <c r="M48" s="3"/>
      <c r="N48" s="3"/>
      <c r="O48" s="3"/>
      <c r="P48" s="3"/>
      <c r="Q48" s="3" t="s">
        <v>111</v>
      </c>
      <c r="R48" s="100"/>
      <c r="S48" s="416"/>
      <c r="T48" s="18"/>
    </row>
    <row r="49" spans="1:21" s="8" customFormat="1" ht="15.6" customHeight="1">
      <c r="A49" s="67" t="s">
        <v>255</v>
      </c>
      <c r="B49" s="67"/>
      <c r="C49" s="67"/>
      <c r="D49" s="67"/>
      <c r="E49" s="67" t="s">
        <v>252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99"/>
      <c r="S49" s="423"/>
      <c r="T49" s="25"/>
      <c r="U49" s="93"/>
    </row>
    <row r="50" spans="1:21" ht="19.2" customHeight="1">
      <c r="S50" s="414"/>
    </row>
    <row r="51" spans="1:21" ht="16.2" customHeight="1">
      <c r="B51" s="77">
        <f>B47+B34+B31+B18+B15+B4</f>
        <v>52</v>
      </c>
      <c r="D51" s="77"/>
      <c r="L51" s="25"/>
      <c r="M51"/>
      <c r="N51"/>
      <c r="O51"/>
      <c r="P51"/>
      <c r="Q51"/>
      <c r="R51"/>
      <c r="U51" s="79"/>
    </row>
    <row r="52" spans="1:21" ht="19.2" customHeight="1">
      <c r="D52" s="77"/>
    </row>
    <row r="53" spans="1:21" ht="19.2" customHeight="1">
      <c r="A53" s="9" t="s">
        <v>54</v>
      </c>
      <c r="B53" s="10"/>
      <c r="C53" s="82"/>
      <c r="D53" s="10"/>
      <c r="E53" s="82"/>
      <c r="F53" s="10">
        <f t="shared" ref="F53:Q53" si="8">SUM(F45,F29,F13)</f>
        <v>174</v>
      </c>
      <c r="G53" s="10">
        <f t="shared" si="8"/>
        <v>310</v>
      </c>
      <c r="H53" s="10">
        <f t="shared" si="8"/>
        <v>148</v>
      </c>
      <c r="I53" s="10">
        <f t="shared" si="8"/>
        <v>6</v>
      </c>
      <c r="J53" s="10"/>
      <c r="K53" s="10">
        <f t="shared" si="8"/>
        <v>40</v>
      </c>
      <c r="L53" s="10">
        <f t="shared" si="8"/>
        <v>37</v>
      </c>
      <c r="M53" s="10">
        <f t="shared" si="8"/>
        <v>1</v>
      </c>
      <c r="N53" s="10">
        <f t="shared" si="8"/>
        <v>30</v>
      </c>
      <c r="O53" s="10">
        <f t="shared" si="8"/>
        <v>0</v>
      </c>
      <c r="P53" s="10">
        <f t="shared" si="8"/>
        <v>0</v>
      </c>
      <c r="Q53" s="10">
        <f t="shared" si="8"/>
        <v>0</v>
      </c>
      <c r="R53" s="10"/>
      <c r="S53" s="82">
        <f>SUM(F53:H53,K53)+28</f>
        <v>700</v>
      </c>
    </row>
    <row r="54" spans="1:21" ht="19.2" customHeight="1">
      <c r="A54" s="9" t="s">
        <v>39</v>
      </c>
      <c r="B54" s="26" t="s">
        <v>33</v>
      </c>
      <c r="C54" s="83"/>
      <c r="D54" s="10"/>
      <c r="E54" s="82"/>
      <c r="F54" s="10"/>
      <c r="G54" s="10"/>
      <c r="H54" s="26">
        <f>F53+G53+H53</f>
        <v>632</v>
      </c>
      <c r="I54" s="10"/>
      <c r="J54" s="10"/>
      <c r="K54" s="10"/>
      <c r="L54" s="10">
        <f>L48+L32+L16</f>
        <v>23</v>
      </c>
      <c r="M54" s="10"/>
      <c r="N54" s="10"/>
      <c r="O54" s="10"/>
      <c r="P54" s="10"/>
      <c r="Q54" s="10"/>
      <c r="R54" s="10"/>
    </row>
    <row r="55" spans="1:21" ht="19.2" customHeight="1">
      <c r="A55" s="9"/>
      <c r="B55" s="26" t="s">
        <v>34</v>
      </c>
      <c r="C55" s="83"/>
      <c r="D55" s="10"/>
      <c r="E55" s="82"/>
      <c r="F55" s="10"/>
      <c r="G55" s="10"/>
      <c r="H55" s="26">
        <f>K53</f>
        <v>40</v>
      </c>
      <c r="I55" s="10"/>
      <c r="J55" s="10"/>
      <c r="K55" s="52" t="s">
        <v>47</v>
      </c>
      <c r="L55" s="53"/>
      <c r="M55" s="53"/>
      <c r="N55" s="54">
        <f>SUM(B4,B18,B34)</f>
        <v>23</v>
      </c>
      <c r="O55" s="53"/>
      <c r="P55" s="54">
        <f>SUM(A47,A31,,A15,)+1</f>
        <v>1</v>
      </c>
      <c r="Q55" s="54">
        <f>SUM(B47,B31,,B15,)</f>
        <v>29</v>
      </c>
      <c r="R55" s="35">
        <f>SUM(N55+Q55)</f>
        <v>52</v>
      </c>
    </row>
    <row r="56" spans="1:21" ht="19.2" customHeight="1">
      <c r="A56" s="9"/>
      <c r="B56" s="26" t="s">
        <v>335</v>
      </c>
      <c r="C56" s="83"/>
      <c r="D56" s="10"/>
      <c r="E56" s="84"/>
      <c r="F56" s="10"/>
      <c r="G56" s="10"/>
      <c r="H56" s="26">
        <f>N53</f>
        <v>30</v>
      </c>
      <c r="I56" s="10"/>
      <c r="J56" s="10"/>
      <c r="K56" s="29" t="s">
        <v>59</v>
      </c>
      <c r="L56" s="30"/>
      <c r="M56" s="30"/>
      <c r="N56" s="31">
        <v>23</v>
      </c>
      <c r="O56" s="30"/>
      <c r="P56" s="31">
        <v>26</v>
      </c>
      <c r="Q56" s="31">
        <v>26</v>
      </c>
      <c r="R56" s="35"/>
      <c r="S56" s="77" t="s">
        <v>62</v>
      </c>
    </row>
    <row r="57" spans="1:21" ht="19.2" customHeight="1">
      <c r="A57" s="9"/>
      <c r="B57" s="26" t="s">
        <v>297</v>
      </c>
      <c r="C57" s="83"/>
      <c r="D57" s="10"/>
      <c r="E57" s="84"/>
      <c r="F57" s="10"/>
      <c r="G57" s="10"/>
      <c r="H57" s="26">
        <f>I53</f>
        <v>6</v>
      </c>
      <c r="I57" s="10"/>
      <c r="J57" s="10"/>
      <c r="K57" s="32" t="s">
        <v>46</v>
      </c>
      <c r="L57" s="35"/>
      <c r="M57" s="35"/>
      <c r="N57" s="36"/>
      <c r="O57" s="35"/>
      <c r="P57" s="36"/>
      <c r="Q57" s="36"/>
      <c r="R57" s="35"/>
    </row>
    <row r="58" spans="1:21" ht="19.2" customHeight="1">
      <c r="A58" s="9"/>
      <c r="B58" s="10" t="s">
        <v>336</v>
      </c>
      <c r="C58" s="82"/>
      <c r="D58" s="10"/>
      <c r="E58" s="84"/>
      <c r="F58" s="10"/>
      <c r="G58" s="10"/>
      <c r="H58" s="10">
        <f>SUM(H54:H55)</f>
        <v>672</v>
      </c>
      <c r="I58" s="10"/>
      <c r="J58" s="10"/>
      <c r="K58" s="32">
        <f>H58/N56</f>
        <v>29.217391304347824</v>
      </c>
      <c r="L58" s="35"/>
      <c r="M58" s="35"/>
      <c r="N58" s="36"/>
      <c r="O58" s="35"/>
      <c r="P58" s="36"/>
      <c r="Q58" s="36"/>
      <c r="R58" s="35"/>
    </row>
    <row r="59" spans="1:21" ht="19.2" customHeight="1">
      <c r="A59" s="28"/>
      <c r="B59" s="26" t="s">
        <v>43</v>
      </c>
      <c r="C59" s="82"/>
      <c r="D59" s="28"/>
      <c r="E59" s="84"/>
      <c r="F59" s="28"/>
      <c r="G59" s="28"/>
      <c r="H59" s="51">
        <v>3</v>
      </c>
      <c r="I59" s="28"/>
      <c r="J59" s="28"/>
      <c r="K59" s="46"/>
      <c r="L59" s="47"/>
      <c r="M59" s="33"/>
      <c r="N59" s="34"/>
      <c r="O59" s="33"/>
      <c r="P59" s="34"/>
      <c r="Q59" s="34"/>
      <c r="R59" s="33"/>
    </row>
    <row r="60" spans="1:21" ht="19.2" customHeight="1">
      <c r="A60" s="28"/>
      <c r="B60" s="26" t="s">
        <v>63</v>
      </c>
      <c r="C60" s="82"/>
      <c r="D60" s="28"/>
      <c r="E60" s="84"/>
      <c r="F60" s="28"/>
      <c r="G60" s="28"/>
      <c r="H60" s="51">
        <v>14</v>
      </c>
      <c r="I60" s="28"/>
      <c r="J60" s="28"/>
      <c r="K60" s="46"/>
      <c r="L60" s="47"/>
      <c r="M60" s="33"/>
      <c r="N60" s="34"/>
      <c r="O60" s="33"/>
      <c r="P60" s="34"/>
      <c r="Q60" s="34"/>
      <c r="R60" s="33"/>
    </row>
    <row r="61" spans="1:21" ht="19.2" customHeight="1">
      <c r="A61" s="28"/>
      <c r="B61" s="26" t="s">
        <v>44</v>
      </c>
      <c r="C61" s="82"/>
      <c r="D61" s="28"/>
      <c r="E61" s="28"/>
      <c r="F61" s="28"/>
      <c r="G61" s="28"/>
      <c r="H61" s="28">
        <f>H62-H58-H59-H57</f>
        <v>124</v>
      </c>
      <c r="I61" s="28"/>
      <c r="J61" s="28"/>
      <c r="K61" s="37">
        <f>H61/N56</f>
        <v>5.3913043478260869</v>
      </c>
      <c r="L61" s="47"/>
      <c r="M61" s="33"/>
      <c r="N61" s="34"/>
      <c r="O61" s="33"/>
      <c r="P61" s="34"/>
      <c r="Q61" s="34"/>
      <c r="R61" s="33"/>
    </row>
    <row r="62" spans="1:21" ht="19.2" customHeight="1">
      <c r="A62" s="28"/>
      <c r="B62" s="10" t="s">
        <v>45</v>
      </c>
      <c r="C62" s="82"/>
      <c r="D62" s="28"/>
      <c r="E62" s="28"/>
      <c r="F62" s="28"/>
      <c r="G62" s="28"/>
      <c r="H62" s="10">
        <f>N55*35</f>
        <v>805</v>
      </c>
      <c r="I62" s="28"/>
      <c r="J62" s="28"/>
      <c r="K62" s="38">
        <f>H62/N55</f>
        <v>35</v>
      </c>
      <c r="L62" s="48"/>
      <c r="M62" s="49"/>
      <c r="N62" s="50"/>
      <c r="O62" s="49"/>
      <c r="P62" s="50"/>
      <c r="Q62" s="50"/>
      <c r="R62" s="33"/>
    </row>
    <row r="63" spans="1:21" ht="19.2" customHeight="1">
      <c r="A63" s="28"/>
      <c r="B63" s="28"/>
      <c r="C63" s="84"/>
      <c r="D63" s="28"/>
      <c r="E63" s="28"/>
      <c r="F63" s="28"/>
      <c r="G63" s="28"/>
      <c r="H63" s="28"/>
      <c r="I63" s="28"/>
      <c r="J63" s="28"/>
      <c r="K63" s="28"/>
      <c r="L63" s="28"/>
      <c r="M63" s="27"/>
      <c r="N63" s="27"/>
      <c r="O63" s="27"/>
      <c r="P63" s="27"/>
      <c r="Q63" s="27"/>
      <c r="R63" s="27"/>
    </row>
    <row r="64" spans="1:21" ht="19.2" customHeight="1">
      <c r="F64" s="28"/>
      <c r="G64" s="28"/>
      <c r="H64" s="15" t="s">
        <v>40</v>
      </c>
      <c r="I64" s="28"/>
      <c r="J64" s="28"/>
      <c r="K64" s="28"/>
      <c r="L64" s="10">
        <f>L13+L29+L45</f>
        <v>37</v>
      </c>
      <c r="M64" s="27"/>
      <c r="N64" s="27"/>
      <c r="O64" s="27"/>
      <c r="P64" s="27"/>
      <c r="Q64" s="27"/>
      <c r="R64" s="27"/>
    </row>
    <row r="65" spans="1:18" ht="19.2" customHeight="1">
      <c r="F65" s="28"/>
      <c r="G65" s="28"/>
      <c r="H65" s="15" t="s">
        <v>36</v>
      </c>
      <c r="I65" s="28"/>
      <c r="J65" s="28"/>
      <c r="K65" s="28"/>
      <c r="L65" s="10">
        <f>SUM(L48,L32,L16)</f>
        <v>23</v>
      </c>
      <c r="M65" s="27"/>
      <c r="N65" s="27"/>
      <c r="O65" s="27"/>
      <c r="P65" s="27"/>
      <c r="Q65" s="27"/>
      <c r="R65" s="27"/>
    </row>
    <row r="66" spans="1:18" ht="19.2" customHeight="1">
      <c r="L66">
        <f>SUM(L64:L65)</f>
        <v>60</v>
      </c>
    </row>
    <row r="67" spans="1:18" ht="19.2" customHeight="1">
      <c r="B67" t="s">
        <v>64</v>
      </c>
      <c r="D67" t="s">
        <v>193</v>
      </c>
      <c r="G67" s="1"/>
      <c r="H67" s="1"/>
      <c r="I67" s="1"/>
      <c r="J67" s="1"/>
      <c r="K67" s="1"/>
    </row>
    <row r="68" spans="1:18" ht="19.2" customHeight="1">
      <c r="C68" s="77" t="s">
        <v>65</v>
      </c>
      <c r="G68" s="1"/>
      <c r="H68" s="1"/>
      <c r="I68" s="1"/>
      <c r="J68" s="1"/>
      <c r="L68" s="1"/>
    </row>
    <row r="69" spans="1:18" ht="19.2" customHeight="1">
      <c r="C69" s="77" t="s">
        <v>61</v>
      </c>
      <c r="G69" s="1"/>
      <c r="H69" s="1"/>
      <c r="I69" s="1"/>
      <c r="J69" s="1"/>
      <c r="L69" s="1"/>
      <c r="M69"/>
      <c r="N69"/>
      <c r="O69"/>
      <c r="P69"/>
      <c r="Q69"/>
      <c r="R69"/>
    </row>
    <row r="70" spans="1:18" ht="19.2" customHeight="1">
      <c r="C70" s="77" t="s">
        <v>67</v>
      </c>
      <c r="L70" s="1"/>
      <c r="M70"/>
      <c r="N70"/>
      <c r="O70"/>
      <c r="P70"/>
      <c r="Q70"/>
      <c r="R70"/>
    </row>
    <row r="71" spans="1:18" ht="19.2" customHeight="1">
      <c r="C71" s="77" t="s">
        <v>66</v>
      </c>
      <c r="L71" s="1"/>
      <c r="M71"/>
      <c r="N71"/>
      <c r="O71"/>
      <c r="P71"/>
      <c r="Q71"/>
      <c r="R71"/>
    </row>
    <row r="73" spans="1:18" ht="19.2" customHeight="1">
      <c r="A73" s="95" t="s">
        <v>228</v>
      </c>
      <c r="B73" s="95" t="s">
        <v>199</v>
      </c>
    </row>
    <row r="74" spans="1:18" ht="19.2" customHeight="1">
      <c r="A74" t="s">
        <v>298</v>
      </c>
      <c r="B74" s="235" t="s">
        <v>274</v>
      </c>
      <c r="C74" s="298"/>
      <c r="M74"/>
      <c r="N74"/>
      <c r="O74"/>
      <c r="P74"/>
      <c r="Q74"/>
      <c r="R74"/>
    </row>
    <row r="75" spans="1:18" ht="19.2" customHeight="1">
      <c r="A75" t="s">
        <v>443</v>
      </c>
      <c r="B75" s="236" t="s">
        <v>444</v>
      </c>
      <c r="C75" s="299"/>
    </row>
    <row r="76" spans="1:18" ht="19.2" customHeight="1">
      <c r="A76" t="s">
        <v>446</v>
      </c>
      <c r="B76" s="238" t="s">
        <v>447</v>
      </c>
      <c r="C76" s="300"/>
    </row>
    <row r="77" spans="1:18" ht="19.2" customHeight="1">
      <c r="A77" t="s">
        <v>299</v>
      </c>
      <c r="B77" s="210" t="s">
        <v>276</v>
      </c>
      <c r="C77" s="301"/>
    </row>
    <row r="78" spans="1:18" ht="19.2" customHeight="1">
      <c r="A78" t="s">
        <v>445</v>
      </c>
      <c r="B78" s="209" t="s">
        <v>450</v>
      </c>
      <c r="C78" s="302"/>
    </row>
    <row r="79" spans="1:18" ht="19.2" customHeight="1">
      <c r="A79" t="s">
        <v>300</v>
      </c>
      <c r="B79" s="235" t="s">
        <v>286</v>
      </c>
      <c r="C79" s="298"/>
    </row>
    <row r="80" spans="1:18" ht="19.2" customHeight="1">
      <c r="A80" t="s">
        <v>448</v>
      </c>
      <c r="B80" s="238" t="s">
        <v>449</v>
      </c>
      <c r="C80" s="300"/>
    </row>
    <row r="81" spans="1:3" ht="19.2" customHeight="1">
      <c r="A81" t="s">
        <v>221</v>
      </c>
      <c r="B81" s="210" t="s">
        <v>291</v>
      </c>
      <c r="C81" s="301"/>
    </row>
    <row r="82" spans="1:3" ht="19.2" customHeight="1">
      <c r="A82" t="s">
        <v>344</v>
      </c>
      <c r="B82" s="209" t="s">
        <v>451</v>
      </c>
      <c r="C82" s="302"/>
    </row>
  </sheetData>
  <conditionalFormatting sqref="D30 D33">
    <cfRule type="cellIs" dxfId="17" priority="15" operator="equal">
      <formula>"Info"</formula>
    </cfRule>
  </conditionalFormatting>
  <conditionalFormatting sqref="D29">
    <cfRule type="cellIs" dxfId="16" priority="14" operator="equal">
      <formula>"Info"</formula>
    </cfRule>
  </conditionalFormatting>
  <conditionalFormatting sqref="D45">
    <cfRule type="cellIs" dxfId="15" priority="13" operator="equal">
      <formula>"Info"</formula>
    </cfRule>
  </conditionalFormatting>
  <conditionalFormatting sqref="D46">
    <cfRule type="cellIs" dxfId="14" priority="12" operator="equal">
      <formula>"Info"</formula>
    </cfRule>
  </conditionalFormatting>
  <conditionalFormatting sqref="D51">
    <cfRule type="cellIs" dxfId="13" priority="11" operator="equal">
      <formula>"Info"</formula>
    </cfRule>
  </conditionalFormatting>
  <conditionalFormatting sqref="D49">
    <cfRule type="cellIs" dxfId="12" priority="10" operator="equal">
      <formula>"Info"</formula>
    </cfRule>
  </conditionalFormatting>
  <conditionalFormatting sqref="D14 D17">
    <cfRule type="cellIs" dxfId="11" priority="17" operator="equal">
      <formula>"Info"</formula>
    </cfRule>
  </conditionalFormatting>
  <conditionalFormatting sqref="D13">
    <cfRule type="cellIs" dxfId="10" priority="16" operator="equal">
      <formula>"Info"</formula>
    </cfRule>
  </conditionalFormatting>
  <conditionalFormatting sqref="E17">
    <cfRule type="cellIs" dxfId="9" priority="9" operator="equal">
      <formula>"Info"</formula>
    </cfRule>
  </conditionalFormatting>
  <conditionalFormatting sqref="E13">
    <cfRule type="cellIs" dxfId="8" priority="8" operator="equal">
      <formula>"Info"</formula>
    </cfRule>
  </conditionalFormatting>
  <conditionalFormatting sqref="E33">
    <cfRule type="cellIs" dxfId="7" priority="7" operator="equal">
      <formula>"Info"</formula>
    </cfRule>
  </conditionalFormatting>
  <conditionalFormatting sqref="E49">
    <cfRule type="cellIs" dxfId="6" priority="6" operator="equal">
      <formula>"Info"</formula>
    </cfRule>
  </conditionalFormatting>
  <conditionalFormatting sqref="E51">
    <cfRule type="cellIs" dxfId="5" priority="5" operator="equal">
      <formula>"Info"</formula>
    </cfRule>
  </conditionalFormatting>
  <conditionalFormatting sqref="D52">
    <cfRule type="cellIs" dxfId="4" priority="4" operator="equal">
      <formula>"Info"</formula>
    </cfRule>
  </conditionalFormatting>
  <conditionalFormatting sqref="E52">
    <cfRule type="cellIs" dxfId="3" priority="3" operator="equal">
      <formula>"Info"</formula>
    </cfRule>
  </conditionalFormatting>
  <conditionalFormatting sqref="E29">
    <cfRule type="cellIs" dxfId="2" priority="2" operator="equal">
      <formula>"Info"</formula>
    </cfRule>
  </conditionalFormatting>
  <conditionalFormatting sqref="E45">
    <cfRule type="cellIs" dxfId="1" priority="1" operator="equal">
      <formula>"Info"</formula>
    </cfRule>
  </conditionalFormatting>
  <pageMargins left="0.39370078740157483" right="0.19685039370078741" top="1.1023622047244095" bottom="0.35433070866141736" header="0.31496062992125984" footer="0.19685039370078741"/>
  <pageSetup paperSize="9" scale="65" orientation="portrait" r:id="rId1"/>
  <headerFooter>
    <oddHeader>&amp;L&amp;"+,Normal"&amp;14 4TCA-Promotion 2016-19</oddHeader>
    <oddFooter>&amp;L&amp;F&amp;R&amp;D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pageSetUpPr fitToPage="1"/>
  </sheetPr>
  <dimension ref="B4:E40"/>
  <sheetViews>
    <sheetView zoomScaleNormal="100" workbookViewId="0">
      <selection activeCell="D10" sqref="D10"/>
    </sheetView>
  </sheetViews>
  <sheetFormatPr baseColWidth="10" defaultColWidth="11.5546875" defaultRowHeight="14.4"/>
  <cols>
    <col min="2" max="2" width="24.6640625" customWidth="1"/>
    <col min="3" max="3" width="43.6640625" customWidth="1"/>
    <col min="4" max="4" width="16.21875" customWidth="1"/>
    <col min="5" max="5" width="11.5546875" style="1"/>
  </cols>
  <sheetData>
    <row r="4" spans="2:5" ht="21">
      <c r="C4" s="222" t="s">
        <v>239</v>
      </c>
    </row>
    <row r="6" spans="2:5" ht="18">
      <c r="B6" s="223" t="s">
        <v>199</v>
      </c>
      <c r="C6" s="223" t="s">
        <v>240</v>
      </c>
      <c r="D6" s="223" t="s">
        <v>226</v>
      </c>
      <c r="E6" s="223" t="s">
        <v>25</v>
      </c>
    </row>
    <row r="8" spans="2:5" ht="15" thickBot="1">
      <c r="B8" s="232" t="s">
        <v>461</v>
      </c>
      <c r="C8" s="232" t="s">
        <v>299</v>
      </c>
      <c r="D8" s="232"/>
      <c r="E8" s="233">
        <f>SUM(E9:E11)</f>
        <v>3</v>
      </c>
    </row>
    <row r="9" spans="2:5">
      <c r="B9" s="225"/>
      <c r="C9" s="226" t="s">
        <v>82</v>
      </c>
      <c r="D9" s="226" t="s">
        <v>114</v>
      </c>
      <c r="E9" s="229">
        <v>0</v>
      </c>
    </row>
    <row r="10" spans="2:5">
      <c r="B10" s="224"/>
      <c r="C10" s="103" t="s">
        <v>363</v>
      </c>
      <c r="D10" s="103" t="s">
        <v>389</v>
      </c>
      <c r="E10" s="230">
        <v>1</v>
      </c>
    </row>
    <row r="11" spans="2:5" ht="15" thickBot="1">
      <c r="B11" s="227"/>
      <c r="C11" s="228" t="s">
        <v>364</v>
      </c>
      <c r="D11" s="228" t="s">
        <v>390</v>
      </c>
      <c r="E11" s="231">
        <v>2</v>
      </c>
    </row>
    <row r="13" spans="2:5" ht="15" thickBot="1">
      <c r="B13" s="232" t="s">
        <v>359</v>
      </c>
      <c r="C13" s="232" t="s">
        <v>360</v>
      </c>
      <c r="D13" s="232"/>
      <c r="E13" s="233">
        <f>SUM(E14:E14)</f>
        <v>12</v>
      </c>
    </row>
    <row r="14" spans="2:5" ht="15" thickBot="1">
      <c r="B14" s="380"/>
      <c r="C14" s="381" t="s">
        <v>360</v>
      </c>
      <c r="D14" s="381" t="s">
        <v>380</v>
      </c>
      <c r="E14" s="382">
        <v>12</v>
      </c>
    </row>
    <row r="16" spans="2:5" ht="15" thickBot="1">
      <c r="B16" s="232" t="s">
        <v>385</v>
      </c>
      <c r="C16" s="232" t="s">
        <v>387</v>
      </c>
      <c r="D16" s="232"/>
      <c r="E16" s="233">
        <f>SUM(E17:E19)</f>
        <v>5</v>
      </c>
    </row>
    <row r="17" spans="2:5">
      <c r="B17" s="225"/>
      <c r="C17" s="226" t="s">
        <v>392</v>
      </c>
      <c r="D17" s="226" t="s">
        <v>391</v>
      </c>
      <c r="E17" s="229">
        <v>3</v>
      </c>
    </row>
    <row r="18" spans="2:5">
      <c r="B18" s="224"/>
      <c r="C18" s="103" t="s">
        <v>393</v>
      </c>
      <c r="D18" s="103" t="s">
        <v>395</v>
      </c>
      <c r="E18" s="230">
        <v>1</v>
      </c>
    </row>
    <row r="19" spans="2:5" ht="15" thickBot="1">
      <c r="B19" s="227"/>
      <c r="C19" s="228" t="s">
        <v>394</v>
      </c>
      <c r="D19" s="228" t="s">
        <v>396</v>
      </c>
      <c r="E19" s="231">
        <v>1</v>
      </c>
    </row>
    <row r="24" spans="2:5" ht="21">
      <c r="C24" s="222" t="s">
        <v>241</v>
      </c>
    </row>
    <row r="26" spans="2:5" ht="18">
      <c r="B26" s="223" t="s">
        <v>199</v>
      </c>
      <c r="C26" s="223" t="s">
        <v>240</v>
      </c>
      <c r="D26" s="223" t="s">
        <v>226</v>
      </c>
      <c r="E26" s="223" t="s">
        <v>25</v>
      </c>
    </row>
    <row r="28" spans="2:5" ht="15" thickBot="1">
      <c r="B28" s="232" t="s">
        <v>460</v>
      </c>
      <c r="C28" s="232" t="s">
        <v>221</v>
      </c>
      <c r="D28" s="232"/>
      <c r="E28" s="233">
        <f>SUM(E29:E30)</f>
        <v>0</v>
      </c>
    </row>
    <row r="29" spans="2:5">
      <c r="B29" s="225"/>
      <c r="C29" s="226" t="s">
        <v>337</v>
      </c>
      <c r="D29" s="226" t="s">
        <v>378</v>
      </c>
      <c r="E29" s="229">
        <v>0</v>
      </c>
    </row>
    <row r="30" spans="2:5" ht="15" thickBot="1">
      <c r="B30" s="227"/>
      <c r="C30" s="228" t="s">
        <v>375</v>
      </c>
      <c r="D30" s="228" t="s">
        <v>377</v>
      </c>
      <c r="E30" s="231">
        <v>0</v>
      </c>
    </row>
    <row r="32" spans="2:5" ht="15" thickBot="1">
      <c r="B32" s="232" t="s">
        <v>317</v>
      </c>
      <c r="C32" s="232" t="s">
        <v>384</v>
      </c>
      <c r="D32" s="232"/>
      <c r="E32" s="233">
        <f>SUM(E33:E33)</f>
        <v>40</v>
      </c>
    </row>
    <row r="33" spans="2:5" ht="15" thickBot="1">
      <c r="B33" s="380"/>
      <c r="C33" s="381" t="s">
        <v>316</v>
      </c>
      <c r="D33" s="381" t="s">
        <v>312</v>
      </c>
      <c r="E33" s="382">
        <v>40</v>
      </c>
    </row>
    <row r="38" spans="2:5" ht="18">
      <c r="B38" s="58" t="s">
        <v>242</v>
      </c>
      <c r="C38" s="58">
        <v>20</v>
      </c>
    </row>
    <row r="40" spans="2:5" ht="18">
      <c r="B40" s="58" t="s">
        <v>243</v>
      </c>
      <c r="C40" s="58">
        <v>40</v>
      </c>
    </row>
  </sheetData>
  <pageMargins left="0.7" right="0.7" top="0.75" bottom="0.75" header="0.3" footer="0.3"/>
  <pageSetup paperSize="9" scale="55" orientation="portrait" r:id="rId1"/>
  <headerFooter>
    <oddHeader>&amp;L5TCA-Promotion 2015-18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pageSetUpPr fitToPage="1"/>
  </sheetPr>
  <dimension ref="B4:I64"/>
  <sheetViews>
    <sheetView topLeftCell="A19" zoomScaleNormal="100" workbookViewId="0">
      <selection activeCell="E59" sqref="E59"/>
    </sheetView>
  </sheetViews>
  <sheetFormatPr baseColWidth="10" defaultColWidth="11.5546875" defaultRowHeight="14.4"/>
  <cols>
    <col min="2" max="2" width="24.6640625" customWidth="1"/>
    <col min="3" max="3" width="43.6640625" customWidth="1"/>
    <col min="4" max="4" width="20.44140625" customWidth="1"/>
    <col min="5" max="5" width="11.5546875" style="1"/>
  </cols>
  <sheetData>
    <row r="4" spans="2:5" ht="21">
      <c r="C4" s="222" t="s">
        <v>239</v>
      </c>
    </row>
    <row r="6" spans="2:5" ht="18">
      <c r="B6" s="223" t="s">
        <v>199</v>
      </c>
      <c r="C6" s="223" t="s">
        <v>240</v>
      </c>
      <c r="D6" s="223" t="s">
        <v>226</v>
      </c>
      <c r="E6" s="223" t="s">
        <v>25</v>
      </c>
    </row>
    <row r="8" spans="2:5" ht="15" thickBot="1">
      <c r="B8" s="232" t="s">
        <v>322</v>
      </c>
      <c r="C8" s="232" t="s">
        <v>382</v>
      </c>
      <c r="D8" s="232"/>
      <c r="E8" s="233">
        <f>SUM(E9:E9)</f>
        <v>0</v>
      </c>
    </row>
    <row r="9" spans="2:5" ht="15" thickBot="1">
      <c r="B9" s="380"/>
      <c r="C9" s="381" t="s">
        <v>82</v>
      </c>
      <c r="D9" s="381" t="s">
        <v>114</v>
      </c>
      <c r="E9" s="382">
        <v>0</v>
      </c>
    </row>
    <row r="11" spans="2:5" ht="15" thickBot="1">
      <c r="B11" s="232" t="s">
        <v>359</v>
      </c>
      <c r="C11" s="232" t="s">
        <v>360</v>
      </c>
      <c r="D11" s="232"/>
      <c r="E11" s="233">
        <f>SUM(E12:E12)</f>
        <v>12</v>
      </c>
    </row>
    <row r="12" spans="2:5" ht="15" thickBot="1">
      <c r="B12" s="380"/>
      <c r="C12" s="381" t="s">
        <v>360</v>
      </c>
      <c r="D12" s="381" t="s">
        <v>380</v>
      </c>
      <c r="E12" s="382">
        <v>12</v>
      </c>
    </row>
    <row r="14" spans="2:5" ht="15" thickBot="1">
      <c r="B14" s="232" t="s">
        <v>352</v>
      </c>
      <c r="C14" s="232" t="s">
        <v>353</v>
      </c>
      <c r="D14" s="232"/>
      <c r="E14" s="233">
        <f>SUM(E15:E16)</f>
        <v>3</v>
      </c>
    </row>
    <row r="15" spans="2:5">
      <c r="B15" s="225"/>
      <c r="C15" s="226" t="s">
        <v>363</v>
      </c>
      <c r="D15" s="226" t="s">
        <v>389</v>
      </c>
      <c r="E15" s="229">
        <v>1</v>
      </c>
    </row>
    <row r="16" spans="2:5" ht="15" thickBot="1">
      <c r="B16" s="227"/>
      <c r="C16" s="228" t="s">
        <v>364</v>
      </c>
      <c r="D16" s="228" t="s">
        <v>390</v>
      </c>
      <c r="E16" s="231">
        <v>2</v>
      </c>
    </row>
    <row r="18" spans="2:5" ht="15" thickBot="1">
      <c r="B18" s="232" t="s">
        <v>385</v>
      </c>
      <c r="C18" s="232" t="s">
        <v>387</v>
      </c>
      <c r="D18" s="232"/>
      <c r="E18" s="233">
        <f>SUM(E19:E21)</f>
        <v>5</v>
      </c>
    </row>
    <row r="19" spans="2:5">
      <c r="B19" s="225"/>
      <c r="C19" s="226" t="s">
        <v>392</v>
      </c>
      <c r="D19" s="226" t="s">
        <v>391</v>
      </c>
      <c r="E19" s="229">
        <v>3</v>
      </c>
    </row>
    <row r="20" spans="2:5">
      <c r="B20" s="224"/>
      <c r="C20" s="103" t="s">
        <v>393</v>
      </c>
      <c r="D20" s="103" t="s">
        <v>395</v>
      </c>
      <c r="E20" s="230">
        <v>1</v>
      </c>
    </row>
    <row r="21" spans="2:5" ht="15" thickBot="1">
      <c r="B21" s="227"/>
      <c r="C21" s="228" t="s">
        <v>394</v>
      </c>
      <c r="D21" s="228" t="s">
        <v>396</v>
      </c>
      <c r="E21" s="231">
        <v>1</v>
      </c>
    </row>
    <row r="26" spans="2:5" ht="21">
      <c r="C26" s="222" t="s">
        <v>241</v>
      </c>
    </row>
    <row r="28" spans="2:5" ht="18">
      <c r="B28" s="223" t="s">
        <v>199</v>
      </c>
      <c r="C28" s="223" t="s">
        <v>240</v>
      </c>
      <c r="D28" s="223" t="s">
        <v>226</v>
      </c>
      <c r="E28" s="223" t="s">
        <v>25</v>
      </c>
    </row>
    <row r="30" spans="2:5" ht="15" thickBot="1">
      <c r="B30" s="232" t="s">
        <v>365</v>
      </c>
      <c r="C30" s="232" t="s">
        <v>383</v>
      </c>
      <c r="D30" s="232"/>
      <c r="E30" s="233">
        <f>SUM(E31:E32)</f>
        <v>0</v>
      </c>
    </row>
    <row r="31" spans="2:5">
      <c r="B31" s="225"/>
      <c r="C31" s="226" t="s">
        <v>337</v>
      </c>
      <c r="D31" s="226" t="s">
        <v>378</v>
      </c>
      <c r="E31" s="229">
        <v>0</v>
      </c>
    </row>
    <row r="32" spans="2:5" ht="15" thickBot="1">
      <c r="B32" s="227"/>
      <c r="C32" s="228" t="s">
        <v>375</v>
      </c>
      <c r="D32" s="228" t="s">
        <v>377</v>
      </c>
      <c r="E32" s="231">
        <v>0</v>
      </c>
    </row>
    <row r="34" spans="2:6" ht="15" thickBot="1">
      <c r="B34" s="232" t="s">
        <v>317</v>
      </c>
      <c r="C34" s="232" t="s">
        <v>384</v>
      </c>
      <c r="D34" s="232"/>
      <c r="E34" s="233">
        <f>SUM(E35:E35)</f>
        <v>40</v>
      </c>
    </row>
    <row r="35" spans="2:6" ht="15" thickBot="1">
      <c r="B35" s="380"/>
      <c r="C35" s="381" t="s">
        <v>316</v>
      </c>
      <c r="D35" s="381" t="s">
        <v>312</v>
      </c>
      <c r="E35" s="382">
        <v>40</v>
      </c>
    </row>
    <row r="40" spans="2:6" ht="18">
      <c r="B40" s="58" t="s">
        <v>242</v>
      </c>
      <c r="C40" s="58">
        <v>20</v>
      </c>
    </row>
    <row r="42" spans="2:6" ht="18">
      <c r="B42" s="58" t="s">
        <v>243</v>
      </c>
      <c r="C42" s="58">
        <v>40</v>
      </c>
    </row>
    <row r="45" spans="2:6" ht="15" thickBot="1"/>
    <row r="46" spans="2:6">
      <c r="D46" s="225"/>
      <c r="E46" s="405" t="s">
        <v>266</v>
      </c>
      <c r="F46" s="229" t="s">
        <v>267</v>
      </c>
    </row>
    <row r="47" spans="2:6">
      <c r="D47" s="406" t="s">
        <v>420</v>
      </c>
      <c r="E47" s="406">
        <v>64</v>
      </c>
      <c r="F47" s="401">
        <v>92</v>
      </c>
    </row>
    <row r="48" spans="2:6">
      <c r="D48" s="410" t="s">
        <v>420</v>
      </c>
      <c r="E48" s="407">
        <f>64/(64+92)</f>
        <v>0.41025641025641024</v>
      </c>
      <c r="F48" s="402">
        <f>92/(64+92)</f>
        <v>0.58974358974358976</v>
      </c>
    </row>
    <row r="49" spans="4:9">
      <c r="D49" s="408" t="s">
        <v>421</v>
      </c>
      <c r="E49" s="408">
        <f>41+37+20</f>
        <v>98</v>
      </c>
      <c r="F49" s="403">
        <f>19+23+40</f>
        <v>82</v>
      </c>
    </row>
    <row r="50" spans="4:9" ht="15" thickBot="1">
      <c r="D50" s="411" t="s">
        <v>421</v>
      </c>
      <c r="E50" s="409">
        <f>E49/(E49+F49)</f>
        <v>0.5444444444444444</v>
      </c>
      <c r="F50" s="404">
        <f>F49/(E49+F49)</f>
        <v>0.45555555555555555</v>
      </c>
    </row>
    <row r="53" spans="4:9">
      <c r="D53" t="s">
        <v>425</v>
      </c>
      <c r="E53" s="1">
        <f>6+8+18</f>
        <v>32</v>
      </c>
      <c r="F53" t="s">
        <v>422</v>
      </c>
    </row>
    <row r="54" spans="4:9">
      <c r="E54" s="1">
        <f>8+16</f>
        <v>24</v>
      </c>
      <c r="F54" t="s">
        <v>423</v>
      </c>
    </row>
    <row r="55" spans="4:9">
      <c r="E55" s="1">
        <v>18</v>
      </c>
      <c r="F55" t="s">
        <v>424</v>
      </c>
    </row>
    <row r="56" spans="4:9">
      <c r="E56" s="1">
        <f>E53+E54+E55</f>
        <v>74</v>
      </c>
    </row>
    <row r="57" spans="4:9">
      <c r="D57" t="s">
        <v>426</v>
      </c>
      <c r="E57" s="1">
        <v>129</v>
      </c>
      <c r="F57" t="s">
        <v>422</v>
      </c>
      <c r="G57" t="s">
        <v>427</v>
      </c>
      <c r="I57">
        <v>5</v>
      </c>
    </row>
    <row r="58" spans="4:9">
      <c r="E58" s="1">
        <v>112</v>
      </c>
      <c r="F58" t="s">
        <v>423</v>
      </c>
      <c r="I58">
        <v>6</v>
      </c>
    </row>
    <row r="59" spans="4:9">
      <c r="E59" s="1">
        <v>104</v>
      </c>
      <c r="F59" t="s">
        <v>424</v>
      </c>
      <c r="I59">
        <v>3</v>
      </c>
    </row>
    <row r="60" spans="4:9">
      <c r="E60" s="1">
        <f>SUM(E57:E59)</f>
        <v>345</v>
      </c>
      <c r="I60" s="1">
        <f>SUM(I57:I59)</f>
        <v>14</v>
      </c>
    </row>
    <row r="61" spans="4:9">
      <c r="D61" t="s">
        <v>429</v>
      </c>
      <c r="E61" s="1">
        <v>623</v>
      </c>
      <c r="F61" t="s">
        <v>422</v>
      </c>
    </row>
    <row r="62" spans="4:9">
      <c r="E62" s="1">
        <v>526</v>
      </c>
      <c r="F62" t="s">
        <v>423</v>
      </c>
    </row>
    <row r="63" spans="4:9">
      <c r="E63" s="1">
        <v>256</v>
      </c>
      <c r="F63" t="s">
        <v>424</v>
      </c>
    </row>
    <row r="64" spans="4:9">
      <c r="E64" s="1">
        <f t="shared" ref="E64" si="0">SUM(E61:E63)</f>
        <v>1405</v>
      </c>
    </row>
  </sheetData>
  <pageMargins left="0.7" right="0.7" top="0.75" bottom="0.75" header="0.3" footer="0.3"/>
  <pageSetup paperSize="9" scale="55" orientation="portrait" r:id="rId1"/>
  <headerFooter>
    <oddHeader>&amp;L5TCA-Promotion 2015-18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57"/>
  <sheetViews>
    <sheetView zoomScale="80" zoomScaleNormal="80" zoomScalePageLayoutView="70" workbookViewId="0">
      <selection activeCell="R6" activeCellId="2" sqref="R14 R9 R6"/>
    </sheetView>
  </sheetViews>
  <sheetFormatPr baseColWidth="10" defaultRowHeight="14.4"/>
  <cols>
    <col min="1" max="1" width="37.6640625" style="106" customWidth="1"/>
    <col min="2" max="2" width="18.5546875" style="304" customWidth="1"/>
    <col min="3" max="3" width="6.33203125" style="304" customWidth="1"/>
    <col min="4" max="4" width="10.33203125" customWidth="1"/>
    <col min="5" max="5" width="24.33203125" style="304" customWidth="1"/>
    <col min="6" max="6" width="7.33203125" style="76" customWidth="1"/>
    <col min="7" max="7" width="4.44140625" style="76" customWidth="1"/>
    <col min="8" max="8" width="5.6640625" style="76" customWidth="1"/>
    <col min="9" max="9" width="6" style="76" customWidth="1"/>
    <col min="10" max="10" width="8.6640625" style="76" customWidth="1"/>
    <col min="11" max="11" width="7.33203125" style="76" customWidth="1"/>
    <col min="12" max="13" width="7" style="76" customWidth="1"/>
    <col min="14" max="15" width="6.33203125" style="76" customWidth="1"/>
    <col min="16" max="16" width="5.5546875" style="76" customWidth="1"/>
    <col min="17" max="17" width="8.33203125" style="76" customWidth="1"/>
    <col min="18" max="18" width="6.33203125" style="76" customWidth="1"/>
    <col min="19" max="19" width="73.109375" customWidth="1"/>
    <col min="20" max="20" width="27.109375" customWidth="1"/>
  </cols>
  <sheetData>
    <row r="1" spans="1:22" ht="25.8">
      <c r="A1" s="104" t="s">
        <v>332</v>
      </c>
      <c r="B1" s="104"/>
      <c r="C1" s="104"/>
      <c r="D1" s="14"/>
      <c r="E1" s="104"/>
      <c r="F1" s="303"/>
      <c r="G1" s="303"/>
      <c r="S1" t="s">
        <v>309</v>
      </c>
    </row>
    <row r="2" spans="1:22" ht="16.95" customHeight="1">
      <c r="A2" s="104"/>
      <c r="B2" s="104"/>
      <c r="C2" s="104"/>
      <c r="D2" s="14"/>
      <c r="E2" s="104"/>
      <c r="F2" s="303"/>
      <c r="G2" s="303"/>
      <c r="S2" t="s">
        <v>310</v>
      </c>
    </row>
    <row r="3" spans="1:22" ht="19.2" customHeight="1">
      <c r="A3" s="105" t="s">
        <v>120</v>
      </c>
      <c r="S3" s="1"/>
    </row>
    <row r="4" spans="1:22" ht="16.5" customHeight="1">
      <c r="A4" s="264" t="s">
        <v>313</v>
      </c>
      <c r="B4" s="295">
        <v>15</v>
      </c>
      <c r="C4" s="295"/>
      <c r="D4" s="294" t="s">
        <v>113</v>
      </c>
      <c r="E4" s="315"/>
      <c r="F4" s="294"/>
      <c r="G4" s="294"/>
      <c r="H4" s="294"/>
      <c r="I4" s="294"/>
      <c r="J4" s="294"/>
      <c r="K4" s="294"/>
      <c r="L4" s="294"/>
      <c r="M4" s="294"/>
      <c r="N4" s="296"/>
      <c r="O4" s="296"/>
      <c r="P4" s="296"/>
      <c r="Q4" s="296"/>
      <c r="R4" s="297"/>
      <c r="U4" t="s">
        <v>25</v>
      </c>
      <c r="V4" t="s">
        <v>456</v>
      </c>
    </row>
    <row r="5" spans="1:22" s="257" customFormat="1" ht="40.5" customHeight="1">
      <c r="A5" s="6" t="s">
        <v>271</v>
      </c>
      <c r="B5" s="6" t="s">
        <v>226</v>
      </c>
      <c r="C5" s="6" t="s">
        <v>0</v>
      </c>
      <c r="D5" s="6" t="s">
        <v>18</v>
      </c>
      <c r="E5" s="67" t="s">
        <v>199</v>
      </c>
      <c r="F5" s="7" t="s">
        <v>22</v>
      </c>
      <c r="G5" s="7" t="s">
        <v>23</v>
      </c>
      <c r="H5" s="7" t="s">
        <v>24</v>
      </c>
      <c r="I5" s="7" t="s">
        <v>53</v>
      </c>
      <c r="J5" s="7" t="s">
        <v>28</v>
      </c>
      <c r="K5" s="7" t="s">
        <v>69</v>
      </c>
      <c r="L5" s="7" t="s">
        <v>25</v>
      </c>
      <c r="M5" s="7"/>
      <c r="N5" s="7" t="s">
        <v>211</v>
      </c>
      <c r="O5" s="7"/>
      <c r="P5" s="7" t="s">
        <v>21</v>
      </c>
      <c r="Q5" s="7" t="s">
        <v>207</v>
      </c>
      <c r="R5" s="316" t="s">
        <v>314</v>
      </c>
      <c r="T5" s="257" t="s">
        <v>267</v>
      </c>
      <c r="U5" s="257">
        <v>40</v>
      </c>
      <c r="V5" s="257">
        <v>4</v>
      </c>
    </row>
    <row r="6" spans="1:22" s="8" customFormat="1" ht="27" customHeight="1">
      <c r="A6" s="384" t="s">
        <v>82</v>
      </c>
      <c r="B6" s="317" t="s">
        <v>114</v>
      </c>
      <c r="C6" s="317" t="s">
        <v>304</v>
      </c>
      <c r="D6" s="180" t="s">
        <v>97</v>
      </c>
      <c r="E6" s="395" t="s">
        <v>461</v>
      </c>
      <c r="F6" s="313"/>
      <c r="G6" s="313"/>
      <c r="H6" s="313"/>
      <c r="I6" s="312">
        <v>2</v>
      </c>
      <c r="J6" s="312"/>
      <c r="K6" s="318"/>
      <c r="L6" s="312">
        <v>0</v>
      </c>
      <c r="M6" s="312"/>
      <c r="N6" s="312"/>
      <c r="O6" s="312"/>
      <c r="P6" s="312"/>
      <c r="Q6" s="312"/>
      <c r="R6" s="319">
        <f>SUM(F6:J6)</f>
        <v>2</v>
      </c>
    </row>
    <row r="7" spans="1:22" ht="25.2" customHeight="1">
      <c r="A7" s="383" t="s">
        <v>360</v>
      </c>
      <c r="B7" s="317" t="s">
        <v>380</v>
      </c>
      <c r="C7" s="320"/>
      <c r="D7" s="180" t="s">
        <v>453</v>
      </c>
      <c r="E7" s="390" t="s">
        <v>359</v>
      </c>
      <c r="F7" s="321">
        <f>32*5</f>
        <v>160</v>
      </c>
      <c r="G7" s="321">
        <v>0</v>
      </c>
      <c r="I7" s="321"/>
      <c r="J7" s="321">
        <v>32</v>
      </c>
      <c r="K7" s="322"/>
      <c r="L7" s="322">
        <v>12</v>
      </c>
      <c r="M7" s="322"/>
      <c r="N7" s="322">
        <v>0</v>
      </c>
      <c r="O7" s="322"/>
      <c r="P7" s="323" t="s">
        <v>110</v>
      </c>
      <c r="Q7" s="323"/>
      <c r="R7" s="319">
        <f>SUM(F7:J7)</f>
        <v>192</v>
      </c>
      <c r="S7" t="s">
        <v>381</v>
      </c>
      <c r="T7" t="s">
        <v>455</v>
      </c>
      <c r="U7">
        <v>17</v>
      </c>
      <c r="V7">
        <v>256</v>
      </c>
    </row>
    <row r="8" spans="1:22" ht="18" customHeight="1">
      <c r="A8" s="383" t="s">
        <v>363</v>
      </c>
      <c r="B8" s="317" t="s">
        <v>389</v>
      </c>
      <c r="C8" s="317" t="s">
        <v>210</v>
      </c>
      <c r="D8" s="180" t="s">
        <v>97</v>
      </c>
      <c r="E8" s="395" t="s">
        <v>461</v>
      </c>
      <c r="F8" s="313"/>
      <c r="G8" s="313">
        <v>18</v>
      </c>
      <c r="H8" s="313"/>
      <c r="I8" s="313"/>
      <c r="J8" s="313"/>
      <c r="K8" s="313"/>
      <c r="L8" s="313">
        <v>1</v>
      </c>
      <c r="M8" s="313"/>
      <c r="N8" s="324">
        <v>0</v>
      </c>
      <c r="O8" s="324"/>
      <c r="P8" s="313" t="s">
        <v>111</v>
      </c>
      <c r="Q8" s="313" t="s">
        <v>110</v>
      </c>
      <c r="R8" s="319">
        <f>SUM(F8:J8)</f>
        <v>18</v>
      </c>
    </row>
    <row r="9" spans="1:22" s="80" customFormat="1" ht="25.2" customHeight="1">
      <c r="A9" s="383" t="s">
        <v>364</v>
      </c>
      <c r="B9" s="311" t="s">
        <v>390</v>
      </c>
      <c r="C9" s="311" t="s">
        <v>4</v>
      </c>
      <c r="D9" s="180" t="s">
        <v>97</v>
      </c>
      <c r="E9" s="395" t="s">
        <v>461</v>
      </c>
      <c r="F9" s="313">
        <v>48</v>
      </c>
      <c r="G9" s="313">
        <v>0</v>
      </c>
      <c r="H9" s="325"/>
      <c r="I9" s="321"/>
      <c r="J9" s="321"/>
      <c r="K9" s="322"/>
      <c r="L9" s="322">
        <v>2</v>
      </c>
      <c r="M9" s="322"/>
      <c r="N9" s="322">
        <v>2</v>
      </c>
      <c r="O9" s="322"/>
      <c r="P9" s="322" t="s">
        <v>110</v>
      </c>
      <c r="Q9" s="322" t="s">
        <v>110</v>
      </c>
      <c r="R9" s="319">
        <f>SUM(F9:J9)</f>
        <v>48</v>
      </c>
      <c r="T9" s="80" t="s">
        <v>454</v>
      </c>
      <c r="U9" s="80">
        <v>3</v>
      </c>
      <c r="V9" s="80">
        <v>100</v>
      </c>
    </row>
    <row r="10" spans="1:22" s="80" customFormat="1" ht="25.2" customHeight="1">
      <c r="A10" s="383" t="s">
        <v>392</v>
      </c>
      <c r="B10" s="311" t="s">
        <v>391</v>
      </c>
      <c r="C10" s="389" t="s">
        <v>209</v>
      </c>
      <c r="D10" s="180" t="s">
        <v>453</v>
      </c>
      <c r="E10" s="397" t="s">
        <v>385</v>
      </c>
      <c r="F10" s="313"/>
      <c r="G10" s="313">
        <v>64</v>
      </c>
      <c r="H10" s="325"/>
      <c r="I10" s="321"/>
      <c r="J10" s="321"/>
      <c r="K10" s="322">
        <f>240-64</f>
        <v>176</v>
      </c>
      <c r="L10" s="322">
        <v>3</v>
      </c>
      <c r="M10" s="322"/>
      <c r="N10" s="322"/>
      <c r="O10" s="322"/>
      <c r="P10" s="322"/>
      <c r="Q10" s="322"/>
      <c r="R10" s="319">
        <f>SUM(F10:J10)</f>
        <v>64</v>
      </c>
      <c r="S10" s="18" t="s">
        <v>379</v>
      </c>
    </row>
    <row r="11" spans="1:22" s="80" customFormat="1" ht="25.2" customHeight="1">
      <c r="A11" s="383" t="s">
        <v>393</v>
      </c>
      <c r="B11" s="311" t="s">
        <v>395</v>
      </c>
      <c r="C11" s="389" t="s">
        <v>209</v>
      </c>
      <c r="D11" s="180" t="s">
        <v>453</v>
      </c>
      <c r="E11" s="397" t="s">
        <v>385</v>
      </c>
      <c r="F11" s="313"/>
      <c r="G11" s="313"/>
      <c r="H11" s="325"/>
      <c r="I11" s="321"/>
      <c r="J11" s="321"/>
      <c r="K11" s="322"/>
      <c r="L11" s="322">
        <v>1</v>
      </c>
      <c r="M11" s="322"/>
      <c r="N11" s="322"/>
      <c r="O11" s="322"/>
      <c r="P11" s="322"/>
      <c r="Q11" s="322"/>
      <c r="R11" s="319"/>
      <c r="T11" s="80" t="s">
        <v>457</v>
      </c>
      <c r="U11" s="80">
        <v>0</v>
      </c>
      <c r="V11" s="80">
        <v>0</v>
      </c>
    </row>
    <row r="12" spans="1:22" s="80" customFormat="1" ht="25.2" customHeight="1">
      <c r="A12" s="383" t="s">
        <v>394</v>
      </c>
      <c r="B12" s="311" t="s">
        <v>396</v>
      </c>
      <c r="C12" s="389" t="s">
        <v>209</v>
      </c>
      <c r="D12" s="180" t="s">
        <v>453</v>
      </c>
      <c r="E12" s="397" t="s">
        <v>385</v>
      </c>
      <c r="F12" s="398"/>
      <c r="G12" s="313"/>
      <c r="H12" s="325"/>
      <c r="I12" s="321"/>
      <c r="J12" s="322"/>
      <c r="K12" s="313"/>
      <c r="L12" s="322">
        <v>1</v>
      </c>
      <c r="M12" s="322"/>
      <c r="N12" s="322"/>
      <c r="O12" s="322"/>
      <c r="P12" s="322"/>
      <c r="Q12" s="322"/>
      <c r="R12" s="319">
        <f>SUM(F12:K12)</f>
        <v>0</v>
      </c>
      <c r="T12" s="80" t="s">
        <v>458</v>
      </c>
      <c r="U12" s="80">
        <v>1</v>
      </c>
      <c r="V12" s="80">
        <v>18</v>
      </c>
    </row>
    <row r="13" spans="1:22" s="8" customFormat="1" ht="27" customHeight="1">
      <c r="A13" s="384" t="s">
        <v>337</v>
      </c>
      <c r="B13" s="317" t="s">
        <v>378</v>
      </c>
      <c r="C13" s="317" t="s">
        <v>304</v>
      </c>
      <c r="D13" s="180" t="s">
        <v>97</v>
      </c>
      <c r="E13" s="451" t="s">
        <v>317</v>
      </c>
      <c r="F13" s="313"/>
      <c r="G13" s="312">
        <v>4</v>
      </c>
      <c r="H13" s="313"/>
      <c r="I13" s="76"/>
      <c r="J13" s="312"/>
      <c r="K13" s="318"/>
      <c r="L13" s="312">
        <v>0</v>
      </c>
      <c r="M13" s="312"/>
      <c r="N13" s="312"/>
      <c r="O13" s="312"/>
      <c r="P13" s="312"/>
      <c r="Q13" s="312"/>
      <c r="R13" s="319">
        <f>SUM(F13:J13)</f>
        <v>4</v>
      </c>
      <c r="T13" s="8" t="s">
        <v>459</v>
      </c>
      <c r="U13" s="8">
        <v>2</v>
      </c>
      <c r="V13" s="8">
        <v>82</v>
      </c>
    </row>
    <row r="14" spans="1:22" s="8" customFormat="1" ht="31.2" customHeight="1">
      <c r="A14" s="384" t="s">
        <v>375</v>
      </c>
      <c r="B14" s="317" t="s">
        <v>377</v>
      </c>
      <c r="C14" s="317" t="s">
        <v>304</v>
      </c>
      <c r="D14" s="180" t="s">
        <v>97</v>
      </c>
      <c r="E14" s="395" t="s">
        <v>460</v>
      </c>
      <c r="F14" s="313">
        <v>28</v>
      </c>
      <c r="G14" s="313">
        <v>4</v>
      </c>
      <c r="H14" s="313"/>
      <c r="I14" s="318"/>
      <c r="J14" s="312"/>
      <c r="K14" s="318"/>
      <c r="L14" s="312">
        <v>0</v>
      </c>
      <c r="M14" s="312"/>
      <c r="N14" s="312"/>
      <c r="O14" s="312"/>
      <c r="P14" s="312"/>
      <c r="Q14" s="312"/>
      <c r="R14" s="319">
        <f>SUM(F14:J14)</f>
        <v>32</v>
      </c>
      <c r="S14" s="388" t="s">
        <v>376</v>
      </c>
      <c r="T14" s="25"/>
    </row>
    <row r="15" spans="1:22" s="76" customFormat="1" ht="33.75" customHeight="1">
      <c r="A15" s="385"/>
      <c r="B15" s="326" t="s">
        <v>452</v>
      </c>
      <c r="C15" s="327"/>
      <c r="D15" s="74">
        <f>SUM(F15:K15)</f>
        <v>536</v>
      </c>
      <c r="E15" s="426">
        <f>SUM(F15:K15)</f>
        <v>536</v>
      </c>
      <c r="F15" s="74">
        <f>SUM(F6:F14)</f>
        <v>236</v>
      </c>
      <c r="G15" s="74">
        <f>SUM(G6:G14)</f>
        <v>90</v>
      </c>
      <c r="H15" s="74">
        <f>SUM(H6:H12)</f>
        <v>0</v>
      </c>
      <c r="I15" s="74">
        <f>SUM(I6:I14)</f>
        <v>2</v>
      </c>
      <c r="J15" s="74">
        <f>SUM(J6:J14)</f>
        <v>32</v>
      </c>
      <c r="K15" s="74">
        <f>SUM(K6:K14)</f>
        <v>176</v>
      </c>
      <c r="L15" s="74">
        <f>SUM(L6:L14)</f>
        <v>20</v>
      </c>
      <c r="M15" s="74"/>
      <c r="N15" s="74">
        <f>SUM(N6:N14)</f>
        <v>2</v>
      </c>
      <c r="O15" s="74"/>
      <c r="P15" s="74">
        <f>SUM(P6:P7,P9:P9)</f>
        <v>0</v>
      </c>
      <c r="Q15" s="74"/>
      <c r="R15" s="101">
        <f>SUM(R6:R14)</f>
        <v>360</v>
      </c>
      <c r="S15" s="75"/>
      <c r="T15" s="75"/>
      <c r="U15" s="440"/>
    </row>
    <row r="16" spans="1:22" s="212" customFormat="1" ht="16.95" customHeight="1">
      <c r="A16" s="328"/>
      <c r="B16" s="90"/>
      <c r="C16" s="90"/>
      <c r="D16" s="90">
        <f>(B4*6-2)*6</f>
        <v>528</v>
      </c>
      <c r="E16" s="164">
        <f>(B4*9)*3</f>
        <v>405</v>
      </c>
      <c r="F16" s="164">
        <f>36*B4</f>
        <v>540</v>
      </c>
      <c r="G16" s="329"/>
      <c r="H16" s="329"/>
      <c r="I16" s="329"/>
      <c r="J16" s="329"/>
      <c r="K16" s="329"/>
      <c r="L16" s="329"/>
      <c r="M16" s="329"/>
      <c r="N16" s="329"/>
      <c r="O16" s="329"/>
      <c r="P16" s="329"/>
      <c r="Q16" s="329"/>
      <c r="R16" s="330"/>
      <c r="S16" s="211"/>
      <c r="T16" s="211"/>
      <c r="U16" s="309"/>
    </row>
    <row r="17" spans="1:21" s="60" customFormat="1" ht="16.5" customHeight="1">
      <c r="A17" s="305" t="s">
        <v>311</v>
      </c>
      <c r="B17" s="306">
        <v>37</v>
      </c>
      <c r="C17" s="306"/>
      <c r="D17" s="278" t="s">
        <v>113</v>
      </c>
      <c r="E17" s="307"/>
      <c r="F17" s="308"/>
      <c r="G17" s="308"/>
      <c r="H17" s="308"/>
      <c r="I17" s="308"/>
      <c r="J17" s="308"/>
      <c r="K17" s="308"/>
      <c r="L17" s="308"/>
      <c r="M17" s="308"/>
      <c r="N17" s="308"/>
      <c r="O17" s="308"/>
      <c r="P17" s="308"/>
      <c r="Q17" s="308"/>
      <c r="R17" s="308"/>
      <c r="S17" s="331"/>
      <c r="T17" s="332"/>
      <c r="U17" s="333"/>
    </row>
    <row r="18" spans="1:21" ht="21.6" customHeight="1">
      <c r="A18" s="334" t="s">
        <v>316</v>
      </c>
      <c r="B18" s="335" t="s">
        <v>312</v>
      </c>
      <c r="C18" s="336"/>
      <c r="D18" s="337" t="s">
        <v>100</v>
      </c>
      <c r="E18" s="391" t="s">
        <v>317</v>
      </c>
      <c r="F18" s="338"/>
      <c r="G18" s="339"/>
      <c r="H18" s="338"/>
      <c r="I18" s="338"/>
      <c r="J18" s="338"/>
      <c r="K18" s="338"/>
      <c r="L18" s="338">
        <v>40</v>
      </c>
      <c r="M18" s="338"/>
      <c r="N18" s="338"/>
      <c r="O18" s="338"/>
      <c r="P18" s="338"/>
      <c r="Q18" s="338" t="s">
        <v>111</v>
      </c>
      <c r="R18" s="314"/>
      <c r="S18" s="18"/>
      <c r="T18" s="18"/>
      <c r="U18" s="70"/>
    </row>
    <row r="19" spans="1:21">
      <c r="A19" s="340" t="s">
        <v>255</v>
      </c>
      <c r="B19" s="20"/>
      <c r="C19" s="340"/>
      <c r="D19" s="20"/>
      <c r="E19" s="310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/>
    </row>
    <row r="20" spans="1:21">
      <c r="A20" s="341"/>
      <c r="B20" s="342"/>
      <c r="C20" s="341"/>
      <c r="D20" s="342"/>
      <c r="E20" s="34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/>
    </row>
    <row r="21" spans="1:21">
      <c r="S21" s="10">
        <f>SUM(F22:J22)</f>
        <v>360</v>
      </c>
    </row>
    <row r="22" spans="1:21">
      <c r="A22" s="107" t="s">
        <v>55</v>
      </c>
      <c r="B22" s="344"/>
      <c r="C22" s="344"/>
      <c r="D22" s="10"/>
      <c r="E22" s="344"/>
      <c r="F22" s="345">
        <f>F15</f>
        <v>236</v>
      </c>
      <c r="G22" s="345">
        <f>G15</f>
        <v>90</v>
      </c>
      <c r="H22" s="345">
        <f t="shared" ref="H22:L22" si="0">H15</f>
        <v>0</v>
      </c>
      <c r="I22" s="345">
        <f>I15+I14</f>
        <v>2</v>
      </c>
      <c r="J22" s="345">
        <f t="shared" si="0"/>
        <v>32</v>
      </c>
      <c r="K22" s="345">
        <f t="shared" si="0"/>
        <v>176</v>
      </c>
      <c r="L22" s="345">
        <f t="shared" si="0"/>
        <v>20</v>
      </c>
      <c r="M22" s="345"/>
      <c r="N22" s="345">
        <f>N15</f>
        <v>2</v>
      </c>
      <c r="O22" s="345"/>
      <c r="P22" s="345">
        <f t="shared" ref="P22:Q22" si="1">P15</f>
        <v>0</v>
      </c>
      <c r="Q22" s="345">
        <f t="shared" si="1"/>
        <v>0</v>
      </c>
      <c r="R22" s="345"/>
    </row>
    <row r="23" spans="1:21">
      <c r="A23" s="107" t="s">
        <v>39</v>
      </c>
      <c r="B23" s="346" t="s">
        <v>33</v>
      </c>
      <c r="C23" s="344"/>
      <c r="D23" s="10"/>
      <c r="E23" s="344"/>
      <c r="F23" s="345"/>
      <c r="G23" s="345"/>
      <c r="H23" s="347">
        <f>F22+G22+H22</f>
        <v>326</v>
      </c>
      <c r="I23" s="345"/>
      <c r="J23" s="345"/>
      <c r="K23" s="345"/>
      <c r="L23" s="345"/>
      <c r="M23" s="345"/>
      <c r="N23" s="345"/>
      <c r="O23" s="345"/>
      <c r="P23" s="345"/>
      <c r="Q23" s="345"/>
      <c r="R23" s="345"/>
    </row>
    <row r="24" spans="1:21">
      <c r="A24" s="107"/>
      <c r="B24" s="346" t="s">
        <v>34</v>
      </c>
      <c r="C24" s="344"/>
      <c r="D24" s="10"/>
      <c r="E24" s="344"/>
      <c r="F24" s="345"/>
      <c r="G24" s="345"/>
      <c r="H24" s="347">
        <f>J22</f>
        <v>32</v>
      </c>
      <c r="I24" s="345"/>
      <c r="J24" s="348" t="s">
        <v>47</v>
      </c>
      <c r="K24" s="349"/>
      <c r="L24" s="349"/>
      <c r="M24" s="349"/>
      <c r="N24" s="350">
        <f>B4</f>
        <v>15</v>
      </c>
      <c r="O24" s="350"/>
      <c r="P24" s="350" t="e">
        <f>SUM(#REF!,A17)+3</f>
        <v>#REF!</v>
      </c>
      <c r="Q24" s="350">
        <f>SUM(B17)</f>
        <v>37</v>
      </c>
      <c r="R24" s="351">
        <f>N24+Q24</f>
        <v>52</v>
      </c>
    </row>
    <row r="25" spans="1:21">
      <c r="A25" s="107"/>
      <c r="B25" s="346" t="s">
        <v>80</v>
      </c>
      <c r="C25" s="344"/>
      <c r="D25" s="10"/>
      <c r="E25" s="344"/>
      <c r="F25" s="345"/>
      <c r="G25" s="345"/>
      <c r="H25" s="347">
        <f>N22</f>
        <v>2</v>
      </c>
      <c r="I25" s="345"/>
      <c r="J25" s="352" t="s">
        <v>59</v>
      </c>
      <c r="K25" s="353"/>
      <c r="L25" s="353"/>
      <c r="M25" s="353"/>
      <c r="N25" s="354">
        <f>N24</f>
        <v>15</v>
      </c>
      <c r="O25" s="354"/>
      <c r="P25" s="354">
        <v>33.5</v>
      </c>
      <c r="Q25" s="354">
        <v>33.5</v>
      </c>
      <c r="R25" s="351"/>
      <c r="S25" t="s">
        <v>62</v>
      </c>
    </row>
    <row r="26" spans="1:21">
      <c r="A26" s="107"/>
      <c r="B26" s="346" t="s">
        <v>37</v>
      </c>
      <c r="C26" s="344"/>
      <c r="D26" s="10"/>
      <c r="E26" s="344"/>
      <c r="F26" s="345"/>
      <c r="G26" s="345"/>
      <c r="H26" s="347">
        <f>I22</f>
        <v>2</v>
      </c>
      <c r="I26" s="345"/>
      <c r="J26" s="355" t="s">
        <v>46</v>
      </c>
      <c r="K26" s="351"/>
      <c r="L26" s="351"/>
      <c r="M26" s="351"/>
      <c r="N26" s="356"/>
      <c r="O26" s="356"/>
      <c r="P26" s="356"/>
      <c r="Q26" s="356"/>
      <c r="R26" s="351"/>
    </row>
    <row r="27" spans="1:21">
      <c r="A27" s="107"/>
      <c r="B27" s="344" t="s">
        <v>336</v>
      </c>
      <c r="C27" s="344"/>
      <c r="D27" s="10"/>
      <c r="E27" s="344"/>
      <c r="F27" s="345"/>
      <c r="G27" s="345"/>
      <c r="H27" s="345">
        <f>SUM(H23:H24)</f>
        <v>358</v>
      </c>
      <c r="I27" s="345"/>
      <c r="J27" s="357">
        <f>H27/N25</f>
        <v>23.866666666666667</v>
      </c>
      <c r="K27" s="351"/>
      <c r="L27" s="351"/>
      <c r="M27" s="351"/>
      <c r="N27" s="356"/>
      <c r="O27" s="356"/>
      <c r="P27" s="356"/>
      <c r="Q27" s="356"/>
      <c r="R27" s="351"/>
    </row>
    <row r="28" spans="1:21">
      <c r="B28" s="346" t="s">
        <v>43</v>
      </c>
      <c r="C28" s="358"/>
      <c r="D28" s="28"/>
      <c r="E28" s="358"/>
      <c r="F28" s="359"/>
      <c r="G28" s="359"/>
      <c r="H28" s="360">
        <v>2</v>
      </c>
      <c r="I28" s="359"/>
      <c r="J28" s="361"/>
      <c r="K28" s="351"/>
      <c r="L28" s="362"/>
      <c r="M28" s="362"/>
      <c r="N28" s="363"/>
      <c r="O28" s="363"/>
      <c r="P28" s="363"/>
      <c r="Q28" s="363"/>
      <c r="R28" s="362"/>
    </row>
    <row r="29" spans="1:21">
      <c r="B29" s="346" t="s">
        <v>63</v>
      </c>
      <c r="C29" s="358"/>
      <c r="D29" s="28"/>
      <c r="E29" s="358"/>
      <c r="F29" s="359"/>
      <c r="G29" s="359"/>
      <c r="H29" s="360">
        <v>10</v>
      </c>
      <c r="I29" s="359"/>
      <c r="J29" s="361"/>
      <c r="K29" s="351"/>
      <c r="L29" s="362"/>
      <c r="M29" s="362"/>
      <c r="N29" s="363"/>
      <c r="O29" s="363"/>
      <c r="P29" s="363"/>
      <c r="Q29" s="363"/>
      <c r="R29" s="362"/>
    </row>
    <row r="30" spans="1:21">
      <c r="B30" s="346" t="s">
        <v>71</v>
      </c>
      <c r="C30" s="358"/>
      <c r="D30" s="28"/>
      <c r="E30" s="358"/>
      <c r="F30" s="359"/>
      <c r="G30" s="359"/>
      <c r="H30" s="360">
        <f>K15</f>
        <v>176</v>
      </c>
      <c r="I30" s="359"/>
      <c r="J30" s="361"/>
      <c r="K30" s="351"/>
      <c r="L30" s="362"/>
      <c r="M30" s="362"/>
      <c r="N30" s="363"/>
      <c r="O30" s="363"/>
      <c r="P30" s="363"/>
      <c r="Q30" s="363"/>
      <c r="R30" s="362"/>
      <c r="S30" s="4"/>
    </row>
    <row r="31" spans="1:21">
      <c r="A31"/>
      <c r="B31" s="346" t="s">
        <v>44</v>
      </c>
      <c r="C31" s="358"/>
      <c r="D31" s="28"/>
      <c r="E31" s="358"/>
      <c r="F31" s="359"/>
      <c r="G31" s="359"/>
      <c r="H31" s="359">
        <f>H32-H27-H28-H30-H26</f>
        <v>-13</v>
      </c>
      <c r="I31" s="359"/>
      <c r="J31" s="357">
        <f>H31/N25</f>
        <v>-0.8666666666666667</v>
      </c>
      <c r="K31" s="362"/>
      <c r="L31" s="362"/>
      <c r="M31" s="362"/>
      <c r="N31" s="363"/>
      <c r="O31" s="363"/>
      <c r="P31" s="363"/>
      <c r="Q31" s="363"/>
      <c r="R31" s="362"/>
    </row>
    <row r="32" spans="1:21">
      <c r="A32"/>
      <c r="B32" s="344" t="s">
        <v>45</v>
      </c>
      <c r="C32" s="358"/>
      <c r="D32" s="28"/>
      <c r="E32" s="358"/>
      <c r="F32" s="359"/>
      <c r="G32" s="359"/>
      <c r="H32" s="345">
        <f>N24*35</f>
        <v>525</v>
      </c>
      <c r="I32" s="359"/>
      <c r="J32" s="364">
        <f>H32/N24</f>
        <v>35</v>
      </c>
      <c r="K32" s="365"/>
      <c r="L32" s="365"/>
      <c r="M32" s="365"/>
      <c r="N32" s="366"/>
      <c r="O32" s="366"/>
      <c r="P32" s="366"/>
      <c r="Q32" s="366"/>
      <c r="R32" s="362"/>
    </row>
    <row r="33" spans="1:21">
      <c r="A33"/>
      <c r="B33" s="344"/>
      <c r="C33" s="358"/>
      <c r="D33" s="28"/>
      <c r="E33" s="358"/>
      <c r="F33" s="359"/>
      <c r="G33" s="359"/>
      <c r="H33" s="359"/>
      <c r="I33" s="359"/>
      <c r="J33" s="367"/>
      <c r="K33" s="362"/>
      <c r="L33" s="362"/>
      <c r="M33" s="362"/>
      <c r="N33" s="362"/>
      <c r="O33" s="362"/>
      <c r="P33" s="362"/>
      <c r="Q33" s="362"/>
      <c r="R33" s="362"/>
    </row>
    <row r="34" spans="1:21">
      <c r="A34"/>
      <c r="G34" s="359"/>
      <c r="H34" s="359"/>
      <c r="I34" s="345" t="s">
        <v>40</v>
      </c>
      <c r="J34" s="359"/>
      <c r="K34" s="359"/>
      <c r="L34" s="345">
        <f>L15</f>
        <v>20</v>
      </c>
      <c r="M34" s="345"/>
      <c r="N34" s="359"/>
      <c r="O34" s="359"/>
      <c r="P34" s="359"/>
      <c r="Q34" s="359"/>
      <c r="R34" s="359"/>
    </row>
    <row r="35" spans="1:21">
      <c r="A35"/>
      <c r="G35" s="359"/>
      <c r="H35" s="368"/>
      <c r="I35" s="345" t="s">
        <v>36</v>
      </c>
      <c r="J35" s="359"/>
      <c r="K35" s="359"/>
      <c r="L35" s="345">
        <f>SUM(L18)</f>
        <v>40</v>
      </c>
      <c r="M35" s="345"/>
      <c r="N35" s="359"/>
      <c r="O35" s="359"/>
      <c r="P35" s="359"/>
      <c r="Q35" s="359"/>
      <c r="R35" s="359"/>
    </row>
    <row r="36" spans="1:21">
      <c r="A36"/>
      <c r="I36" s="76" t="s">
        <v>321</v>
      </c>
      <c r="L36" s="76">
        <f>SUM(L34:L35)</f>
        <v>60</v>
      </c>
    </row>
    <row r="37" spans="1:21">
      <c r="A37"/>
      <c r="B37" s="304" t="s">
        <v>64</v>
      </c>
    </row>
    <row r="38" spans="1:21">
      <c r="A38"/>
      <c r="C38" s="304" t="s">
        <v>65</v>
      </c>
    </row>
    <row r="39" spans="1:21">
      <c r="A39"/>
      <c r="C39" s="304" t="s">
        <v>68</v>
      </c>
    </row>
    <row r="40" spans="1:21">
      <c r="A40"/>
      <c r="C40" s="304" t="s">
        <v>315</v>
      </c>
      <c r="J40" s="76" t="s">
        <v>428</v>
      </c>
    </row>
    <row r="41" spans="1:21">
      <c r="I41" s="76">
        <f>910+805+525</f>
        <v>2240</v>
      </c>
      <c r="J41" s="76">
        <f>623+526+256</f>
        <v>1405</v>
      </c>
    </row>
    <row r="42" spans="1:21">
      <c r="A42" s="392" t="s">
        <v>228</v>
      </c>
      <c r="B42" s="392" t="s">
        <v>199</v>
      </c>
      <c r="I42" s="76">
        <f>536+674+746</f>
        <v>1956</v>
      </c>
    </row>
    <row r="43" spans="1:21" ht="28.8">
      <c r="A43" s="393" t="s">
        <v>360</v>
      </c>
      <c r="B43" s="394" t="s">
        <v>359</v>
      </c>
      <c r="C43" s="304">
        <v>12</v>
      </c>
      <c r="E43" s="379" t="s">
        <v>386</v>
      </c>
      <c r="H43" s="304"/>
      <c r="S43" s="76"/>
      <c r="T43" s="76"/>
      <c r="U43" s="76"/>
    </row>
    <row r="44" spans="1:21">
      <c r="A44" t="s">
        <v>299</v>
      </c>
      <c r="B44" s="395" t="s">
        <v>461</v>
      </c>
      <c r="C44" s="304">
        <v>4</v>
      </c>
      <c r="D44" t="s">
        <v>356</v>
      </c>
      <c r="E44" s="379" t="s">
        <v>346</v>
      </c>
      <c r="F44" s="106" t="s">
        <v>345</v>
      </c>
      <c r="H44" s="304"/>
      <c r="I44" s="304" t="s">
        <v>347</v>
      </c>
      <c r="S44" s="76"/>
      <c r="T44" s="76"/>
      <c r="U44" s="76"/>
    </row>
    <row r="45" spans="1:21" ht="28.8">
      <c r="A45" s="383" t="s">
        <v>387</v>
      </c>
      <c r="B45" s="394" t="s">
        <v>385</v>
      </c>
      <c r="C45" s="304">
        <v>0</v>
      </c>
      <c r="D45" t="s">
        <v>357</v>
      </c>
      <c r="E45" s="379" t="s">
        <v>349</v>
      </c>
      <c r="F45" s="106" t="s">
        <v>348</v>
      </c>
      <c r="H45" s="304"/>
      <c r="I45" s="304" t="s">
        <v>347</v>
      </c>
      <c r="S45" s="76"/>
      <c r="T45" s="76"/>
      <c r="U45" s="76"/>
    </row>
    <row r="46" spans="1:21">
      <c r="A46" t="s">
        <v>221</v>
      </c>
      <c r="B46" s="395" t="s">
        <v>460</v>
      </c>
      <c r="E46" s="379"/>
      <c r="F46" s="106"/>
      <c r="H46" s="304"/>
      <c r="I46" s="304"/>
      <c r="S46" s="76"/>
      <c r="T46" s="76"/>
      <c r="U46" s="76"/>
    </row>
    <row r="47" spans="1:21">
      <c r="A47" s="103" t="s">
        <v>384</v>
      </c>
      <c r="B47" s="396" t="s">
        <v>317</v>
      </c>
      <c r="C47" s="304">
        <v>0</v>
      </c>
      <c r="D47" t="s">
        <v>358</v>
      </c>
      <c r="E47" s="379" t="s">
        <v>351</v>
      </c>
      <c r="F47" s="106" t="s">
        <v>350</v>
      </c>
      <c r="H47" s="304"/>
      <c r="I47" s="304" t="s">
        <v>347</v>
      </c>
      <c r="S47" s="76"/>
      <c r="T47" s="76"/>
      <c r="U47" s="76"/>
    </row>
    <row r="48" spans="1:21" ht="28.8">
      <c r="C48" s="304">
        <v>40</v>
      </c>
      <c r="E48" s="379" t="s">
        <v>355</v>
      </c>
      <c r="F48" s="106" t="s">
        <v>354</v>
      </c>
      <c r="H48" s="304"/>
      <c r="I48" s="304" t="s">
        <v>347</v>
      </c>
      <c r="S48" s="76"/>
      <c r="T48" s="76"/>
      <c r="U48" s="76"/>
    </row>
    <row r="49" spans="1:18">
      <c r="F49" s="304"/>
      <c r="G49" s="304"/>
    </row>
    <row r="50" spans="1:18"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7" spans="1:18">
      <c r="A57" s="106" t="s">
        <v>366</v>
      </c>
    </row>
  </sheetData>
  <phoneticPr fontId="8" type="noConversion"/>
  <conditionalFormatting sqref="D16 D19:D20 A19:A20">
    <cfRule type="cellIs" dxfId="0" priority="2" operator="equal">
      <formula>"Info"</formula>
    </cfRule>
  </conditionalFormatting>
  <pageMargins left="0.39370078740157483" right="0.19685039370078741" top="1.1023622047244095" bottom="0.35433070866141736" header="0.31496062992125984" footer="0.19685039370078741"/>
  <pageSetup paperSize="9" scale="61" firstPageNumber="0" orientation="portrait" r:id="rId1"/>
  <headerFooter>
    <oddHeader>&amp;L&amp;"+,Normal"&amp;14 5TCA-Promotion 2015-18&amp;R&amp;G</oddHeader>
    <oddFooter>&amp;L&amp;F&amp;R&amp;D</oddFooter>
  </headerFooter>
  <legacyDrawingHF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4:P16"/>
  <sheetViews>
    <sheetView topLeftCell="C1" workbookViewId="0">
      <selection activeCell="L23" sqref="L23"/>
    </sheetView>
  </sheetViews>
  <sheetFormatPr baseColWidth="10" defaultRowHeight="14.4"/>
  <cols>
    <col min="2" max="2" width="20.6640625" customWidth="1"/>
    <col min="6" max="6" width="20.6640625" customWidth="1"/>
    <col min="10" max="10" width="20.6640625" customWidth="1"/>
    <col min="14" max="14" width="25.6640625" customWidth="1"/>
  </cols>
  <sheetData>
    <row r="4" spans="2:16" ht="25.8">
      <c r="B4" s="452" t="s">
        <v>56</v>
      </c>
      <c r="C4" s="452"/>
      <c r="D4" s="452"/>
      <c r="E4" s="136"/>
      <c r="F4" s="452" t="s">
        <v>57</v>
      </c>
      <c r="G4" s="452"/>
      <c r="H4" s="452"/>
      <c r="I4" s="136"/>
      <c r="J4" s="452" t="s">
        <v>58</v>
      </c>
      <c r="K4" s="452"/>
      <c r="L4" s="452"/>
      <c r="N4" s="452" t="s">
        <v>462</v>
      </c>
      <c r="O4" s="452"/>
      <c r="P4" s="452"/>
    </row>
    <row r="5" spans="2:16">
      <c r="B5" s="449"/>
      <c r="C5" s="448" t="s">
        <v>25</v>
      </c>
      <c r="D5" s="448" t="s">
        <v>456</v>
      </c>
      <c r="E5" s="25"/>
      <c r="F5" s="449"/>
      <c r="G5" s="448" t="s">
        <v>25</v>
      </c>
      <c r="H5" s="448" t="s">
        <v>456</v>
      </c>
      <c r="I5" s="25"/>
      <c r="J5" s="449"/>
      <c r="K5" s="448" t="s">
        <v>25</v>
      </c>
      <c r="L5" s="448" t="s">
        <v>456</v>
      </c>
      <c r="N5" s="449"/>
      <c r="O5" s="448" t="s">
        <v>25</v>
      </c>
      <c r="P5" s="448" t="s">
        <v>456</v>
      </c>
    </row>
    <row r="6" spans="2:16" ht="15.6">
      <c r="B6" s="447" t="s">
        <v>267</v>
      </c>
      <c r="C6" s="441">
        <f>'Année 1'!U5</f>
        <v>17</v>
      </c>
      <c r="D6" s="441">
        <f>'Année 1'!V5</f>
        <v>18</v>
      </c>
      <c r="E6" s="70"/>
      <c r="F6" s="447" t="s">
        <v>267</v>
      </c>
      <c r="G6" s="441">
        <f>'Année 2'!U5</f>
        <v>23</v>
      </c>
      <c r="H6" s="441">
        <f>'Année 2'!V5</f>
        <v>18</v>
      </c>
      <c r="I6" s="70"/>
      <c r="J6" s="447" t="s">
        <v>267</v>
      </c>
      <c r="K6" s="441">
        <f>'Année 3'!U5</f>
        <v>40</v>
      </c>
      <c r="L6" s="441">
        <f>'Année 3'!V5</f>
        <v>4</v>
      </c>
      <c r="N6" s="447" t="s">
        <v>267</v>
      </c>
      <c r="O6" s="441">
        <f>C6+G6+K6</f>
        <v>80</v>
      </c>
      <c r="P6" s="441">
        <f>D6+H6+L6</f>
        <v>40</v>
      </c>
    </row>
    <row r="7" spans="2:16" ht="15.6">
      <c r="B7" s="449"/>
      <c r="C7" s="441"/>
      <c r="D7" s="441"/>
      <c r="E7" s="70"/>
      <c r="F7" s="449"/>
      <c r="G7" s="441"/>
      <c r="H7" s="441"/>
      <c r="I7" s="70"/>
      <c r="J7" s="449"/>
      <c r="K7" s="441"/>
      <c r="L7" s="441"/>
      <c r="N7" s="449"/>
      <c r="O7" s="441"/>
      <c r="P7" s="441"/>
    </row>
    <row r="8" spans="2:16" ht="15.6">
      <c r="B8" s="450" t="s">
        <v>455</v>
      </c>
      <c r="C8" s="442">
        <f>'Année 1'!U7</f>
        <v>33</v>
      </c>
      <c r="D8" s="441">
        <f>'Année 1'!V7</f>
        <v>578</v>
      </c>
      <c r="E8" s="70"/>
      <c r="F8" s="450" t="s">
        <v>455</v>
      </c>
      <c r="G8" s="441">
        <f>'Année 2'!U7</f>
        <v>27</v>
      </c>
      <c r="H8" s="441">
        <f>'Année 2'!V7</f>
        <v>526</v>
      </c>
      <c r="I8" s="70"/>
      <c r="J8" s="450" t="s">
        <v>455</v>
      </c>
      <c r="K8" s="441">
        <f>'Année 3'!U7</f>
        <v>17</v>
      </c>
      <c r="L8" s="441">
        <f>'Année 3'!V7</f>
        <v>256</v>
      </c>
      <c r="N8" s="450" t="s">
        <v>455</v>
      </c>
      <c r="O8" s="441">
        <f>C8+G8+K8</f>
        <v>77</v>
      </c>
      <c r="P8" s="441">
        <f>D8+H8+L8</f>
        <v>1360</v>
      </c>
    </row>
    <row r="9" spans="2:16" ht="15.6">
      <c r="B9" s="449"/>
      <c r="C9" s="441"/>
      <c r="D9" s="441"/>
      <c r="E9" s="70"/>
      <c r="F9" s="449"/>
      <c r="G9" s="441"/>
      <c r="H9" s="441"/>
      <c r="I9" s="70"/>
      <c r="J9" s="449"/>
      <c r="K9" s="441"/>
      <c r="L9" s="441"/>
      <c r="N9" s="449"/>
      <c r="O9" s="441"/>
      <c r="P9" s="441"/>
    </row>
    <row r="10" spans="2:16" ht="15.6">
      <c r="B10" s="445" t="s">
        <v>454</v>
      </c>
      <c r="C10" s="442">
        <f>'Année 1'!U9</f>
        <v>10</v>
      </c>
      <c r="D10" s="442">
        <f>'Année 1'!V9</f>
        <v>161</v>
      </c>
      <c r="E10" s="70"/>
      <c r="F10" s="445" t="s">
        <v>454</v>
      </c>
      <c r="G10" s="441">
        <f>'Année 2'!U9</f>
        <v>10</v>
      </c>
      <c r="H10" s="441">
        <f>'Année 2'!V9</f>
        <v>148</v>
      </c>
      <c r="I10" s="70"/>
      <c r="J10" s="445" t="s">
        <v>454</v>
      </c>
      <c r="K10" s="441">
        <f>'Année 3'!U9</f>
        <v>3</v>
      </c>
      <c r="L10" s="441">
        <f>'Année 3'!V9</f>
        <v>100</v>
      </c>
      <c r="N10" s="445" t="s">
        <v>454</v>
      </c>
      <c r="O10" s="441">
        <f>C10+G10+K10</f>
        <v>23</v>
      </c>
      <c r="P10" s="441">
        <f>D10+H10+L10</f>
        <v>409</v>
      </c>
    </row>
    <row r="11" spans="2:16" ht="15.6">
      <c r="B11" s="449"/>
      <c r="C11" s="441"/>
      <c r="D11" s="441"/>
      <c r="E11" s="70"/>
      <c r="F11" s="449"/>
      <c r="G11" s="441"/>
      <c r="H11" s="441"/>
      <c r="I11" s="70"/>
      <c r="J11" s="449"/>
      <c r="K11" s="441"/>
      <c r="L11" s="441"/>
      <c r="N11" s="449"/>
      <c r="O11" s="441"/>
      <c r="P11" s="441"/>
    </row>
    <row r="12" spans="2:16" ht="15.6">
      <c r="B12" s="445" t="s">
        <v>463</v>
      </c>
      <c r="C12" s="441">
        <f>'Année 1'!U11</f>
        <v>4</v>
      </c>
      <c r="D12" s="441">
        <f>'Année 1'!V11</f>
        <v>50</v>
      </c>
      <c r="E12" s="70"/>
      <c r="F12" s="445" t="s">
        <v>463</v>
      </c>
      <c r="G12" s="441">
        <f>'Année 2'!U11</f>
        <v>4</v>
      </c>
      <c r="H12" s="441">
        <f>'Année 2'!V11</f>
        <v>50</v>
      </c>
      <c r="I12" s="70"/>
      <c r="J12" s="445" t="s">
        <v>463</v>
      </c>
      <c r="K12" s="441">
        <f>'Année 3'!U11</f>
        <v>0</v>
      </c>
      <c r="L12" s="441">
        <f>'Année 3'!V11</f>
        <v>0</v>
      </c>
      <c r="N12" s="445" t="s">
        <v>463</v>
      </c>
      <c r="O12" s="441">
        <f t="shared" ref="O12:P14" si="0">C12+G12+K12</f>
        <v>8</v>
      </c>
      <c r="P12" s="441">
        <f t="shared" si="0"/>
        <v>100</v>
      </c>
    </row>
    <row r="13" spans="2:16" ht="15.6">
      <c r="B13" s="446" t="s">
        <v>458</v>
      </c>
      <c r="C13" s="443">
        <f>'Année 1'!U12</f>
        <v>2</v>
      </c>
      <c r="D13" s="443">
        <f>'Année 1'!V12</f>
        <v>32</v>
      </c>
      <c r="E13" s="70"/>
      <c r="F13" s="446" t="s">
        <v>458</v>
      </c>
      <c r="G13" s="441">
        <f>'Année 2'!U12</f>
        <v>1</v>
      </c>
      <c r="H13" s="441">
        <f>'Année 2'!V12</f>
        <v>28</v>
      </c>
      <c r="I13" s="70"/>
      <c r="J13" s="446" t="s">
        <v>458</v>
      </c>
      <c r="K13" s="441">
        <f>'Année 3'!U12</f>
        <v>1</v>
      </c>
      <c r="L13" s="441">
        <f>'Année 3'!V12</f>
        <v>18</v>
      </c>
      <c r="N13" s="446" t="s">
        <v>458</v>
      </c>
      <c r="O13" s="441">
        <f t="shared" si="0"/>
        <v>4</v>
      </c>
      <c r="P13" s="441">
        <f t="shared" si="0"/>
        <v>78</v>
      </c>
    </row>
    <row r="14" spans="2:16" ht="15.6">
      <c r="B14" s="446" t="s">
        <v>459</v>
      </c>
      <c r="C14" s="443">
        <f>'Année 1'!U13</f>
        <v>4</v>
      </c>
      <c r="D14" s="443">
        <f>'Année 1'!V13</f>
        <v>79</v>
      </c>
      <c r="E14" s="70"/>
      <c r="F14" s="446" t="s">
        <v>459</v>
      </c>
      <c r="G14" s="441">
        <f>'Année 2'!U13</f>
        <v>5</v>
      </c>
      <c r="H14" s="441">
        <f>'Année 2'!V13</f>
        <v>70</v>
      </c>
      <c r="I14" s="70"/>
      <c r="J14" s="446" t="s">
        <v>459</v>
      </c>
      <c r="K14" s="441">
        <f>'Année 3'!U13</f>
        <v>2</v>
      </c>
      <c r="L14" s="441">
        <f>'Année 3'!V13</f>
        <v>82</v>
      </c>
      <c r="N14" s="446" t="s">
        <v>459</v>
      </c>
      <c r="O14" s="441">
        <f t="shared" si="0"/>
        <v>11</v>
      </c>
      <c r="P14" s="441">
        <f t="shared" si="0"/>
        <v>231</v>
      </c>
    </row>
    <row r="16" spans="2:16">
      <c r="N16" s="444" t="s">
        <v>464</v>
      </c>
      <c r="O16" s="57">
        <f>O6+O8+O10</f>
        <v>180</v>
      </c>
      <c r="P16" s="57">
        <f>P6+P8+P10</f>
        <v>1809</v>
      </c>
    </row>
  </sheetData>
  <mergeCells count="4">
    <mergeCell ref="B4:D4"/>
    <mergeCell ref="F4:H4"/>
    <mergeCell ref="J4:L4"/>
    <mergeCell ref="N4:P4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M35"/>
  <sheetViews>
    <sheetView workbookViewId="0">
      <selection activeCell="E6" sqref="E6"/>
    </sheetView>
  </sheetViews>
  <sheetFormatPr baseColWidth="10" defaultColWidth="17.109375" defaultRowHeight="14.4"/>
  <sheetData>
    <row r="1" spans="1:8" ht="25.8">
      <c r="A1" s="135" t="s">
        <v>72</v>
      </c>
      <c r="B1" s="135"/>
      <c r="C1" s="135"/>
      <c r="D1" s="135"/>
      <c r="E1" s="135"/>
      <c r="F1" s="135"/>
      <c r="G1" s="135"/>
    </row>
    <row r="2" spans="1:8" ht="25.8">
      <c r="A2" s="135"/>
    </row>
    <row r="3" spans="1:8" ht="25.8">
      <c r="A3" s="135"/>
      <c r="E3" s="178" t="s">
        <v>35</v>
      </c>
      <c r="F3" s="178"/>
      <c r="G3" s="178"/>
      <c r="H3" s="175"/>
    </row>
    <row r="4" spans="1:8">
      <c r="E4" s="175"/>
      <c r="F4" s="178"/>
      <c r="G4" s="178"/>
      <c r="H4" s="178"/>
    </row>
    <row r="5" spans="1:8">
      <c r="A5" s="176"/>
      <c r="B5" s="178"/>
      <c r="C5" s="178"/>
      <c r="D5" s="178"/>
      <c r="E5" s="178" t="s">
        <v>56</v>
      </c>
      <c r="F5" s="178" t="s">
        <v>57</v>
      </c>
      <c r="G5" s="178" t="s">
        <v>58</v>
      </c>
      <c r="H5" s="178" t="s">
        <v>32</v>
      </c>
    </row>
    <row r="6" spans="1:8">
      <c r="A6" s="176" t="s">
        <v>39</v>
      </c>
      <c r="B6" s="175" t="s">
        <v>33</v>
      </c>
      <c r="C6" s="175"/>
      <c r="D6" s="178"/>
      <c r="E6" s="10">
        <f>'Année 1'!H68</f>
        <v>736</v>
      </c>
      <c r="F6" s="10" t="e">
        <f>#REF!</f>
        <v>#REF!</v>
      </c>
      <c r="G6" s="10">
        <f>'Année 3'!H25</f>
        <v>2</v>
      </c>
      <c r="H6" s="10" t="e">
        <f>SUM(E6:G6)</f>
        <v>#REF!</v>
      </c>
    </row>
    <row r="7" spans="1:8">
      <c r="A7" s="176"/>
      <c r="B7" s="175" t="s">
        <v>34</v>
      </c>
      <c r="C7" s="175"/>
      <c r="D7" s="178"/>
      <c r="E7" s="10">
        <f>'Année 1'!H69</f>
        <v>10</v>
      </c>
      <c r="F7" s="10" t="e">
        <f>#REF!</f>
        <v>#REF!</v>
      </c>
      <c r="G7" s="10">
        <f>'Année 3'!H26</f>
        <v>2</v>
      </c>
      <c r="H7" s="10" t="e">
        <f>SUM(E7:G7)</f>
        <v>#REF!</v>
      </c>
    </row>
    <row r="8" spans="1:8">
      <c r="A8" s="176"/>
      <c r="B8" s="175" t="s">
        <v>31</v>
      </c>
      <c r="C8" s="175"/>
      <c r="D8" s="178"/>
      <c r="E8" s="10">
        <f>'Année 1'!H70</f>
        <v>40</v>
      </c>
      <c r="F8" s="10" t="e">
        <f>#REF!</f>
        <v>#REF!</v>
      </c>
      <c r="G8" s="10">
        <f>'Année 3'!H27</f>
        <v>358</v>
      </c>
      <c r="H8" s="10" t="e">
        <f t="shared" ref="H8:H14" si="0">SUM(E8:G8)</f>
        <v>#REF!</v>
      </c>
    </row>
    <row r="9" spans="1:8">
      <c r="A9" s="176"/>
      <c r="B9" s="175" t="s">
        <v>37</v>
      </c>
      <c r="C9" s="175"/>
      <c r="D9" s="175"/>
      <c r="E9" s="10">
        <f>'Année 1'!H71</f>
        <v>14</v>
      </c>
      <c r="F9" s="10" t="e">
        <f>#REF!</f>
        <v>#REF!</v>
      </c>
      <c r="G9" s="10">
        <f>'Année 3'!H28</f>
        <v>2</v>
      </c>
      <c r="H9" s="10" t="e">
        <f t="shared" si="0"/>
        <v>#REF!</v>
      </c>
    </row>
    <row r="10" spans="1:8">
      <c r="A10" s="176"/>
      <c r="B10" s="178" t="s">
        <v>42</v>
      </c>
      <c r="C10" s="178"/>
      <c r="D10" s="178"/>
      <c r="E10" s="10">
        <f>'Année 1'!H72</f>
        <v>746</v>
      </c>
      <c r="F10" s="10" t="e">
        <f>#REF!</f>
        <v>#REF!</v>
      </c>
      <c r="G10" s="10">
        <f>'Année 3'!H29</f>
        <v>10</v>
      </c>
      <c r="H10" s="10" t="e">
        <f t="shared" si="0"/>
        <v>#REF!</v>
      </c>
    </row>
    <row r="11" spans="1:8">
      <c r="A11" s="175"/>
      <c r="B11" s="175" t="s">
        <v>43</v>
      </c>
      <c r="C11" s="175"/>
      <c r="D11" s="175"/>
      <c r="E11" s="10">
        <f>'Année 1'!H73</f>
        <v>4</v>
      </c>
      <c r="F11" s="10" t="e">
        <f>#REF!</f>
        <v>#REF!</v>
      </c>
      <c r="G11" s="10">
        <f>'Année 3'!H30</f>
        <v>176</v>
      </c>
      <c r="H11" s="10" t="e">
        <f t="shared" si="0"/>
        <v>#REF!</v>
      </c>
    </row>
    <row r="12" spans="1:8">
      <c r="A12" s="175"/>
      <c r="B12" s="175" t="s">
        <v>60</v>
      </c>
      <c r="C12" s="175"/>
      <c r="D12" s="175"/>
      <c r="E12" s="10">
        <f>'Année 1'!H74</f>
        <v>0</v>
      </c>
      <c r="F12" s="10" t="e">
        <f>#REF!</f>
        <v>#REF!</v>
      </c>
      <c r="G12" s="10">
        <f>'Année 3'!H31</f>
        <v>-13</v>
      </c>
      <c r="H12" s="10" t="e">
        <f t="shared" si="0"/>
        <v>#REF!</v>
      </c>
    </row>
    <row r="13" spans="1:8">
      <c r="A13" s="175"/>
      <c r="B13" s="175" t="s">
        <v>70</v>
      </c>
      <c r="C13" s="175"/>
      <c r="D13" s="175"/>
      <c r="E13" s="10">
        <v>0</v>
      </c>
      <c r="F13" s="10">
        <v>0</v>
      </c>
      <c r="G13" s="10">
        <f>'Année 3'!H32</f>
        <v>525</v>
      </c>
      <c r="H13" s="10">
        <f t="shared" si="0"/>
        <v>525</v>
      </c>
    </row>
    <row r="14" spans="1:8">
      <c r="A14" s="175"/>
      <c r="B14" s="175" t="s">
        <v>44</v>
      </c>
      <c r="C14" s="175"/>
      <c r="D14" s="175"/>
      <c r="E14" s="10">
        <f>'Année 1'!H75</f>
        <v>146</v>
      </c>
      <c r="F14" s="10" t="e">
        <f>#REF!</f>
        <v>#REF!</v>
      </c>
      <c r="G14" s="10">
        <f>'Année 3'!H33</f>
        <v>0</v>
      </c>
      <c r="H14" s="10" t="e">
        <f t="shared" si="0"/>
        <v>#REF!</v>
      </c>
    </row>
    <row r="15" spans="1:8">
      <c r="A15" s="175"/>
      <c r="B15" s="178" t="s">
        <v>45</v>
      </c>
      <c r="C15" s="178"/>
      <c r="D15" s="175"/>
      <c r="E15" s="10">
        <f>'Année 1'!H76</f>
        <v>910</v>
      </c>
      <c r="F15" s="10" t="e">
        <f>#REF!</f>
        <v>#REF!</v>
      </c>
      <c r="G15" s="10">
        <f>'Année 3'!H34</f>
        <v>0</v>
      </c>
      <c r="H15" s="10" t="e">
        <f>SUM(E15:G15)</f>
        <v>#REF!</v>
      </c>
    </row>
    <row r="16" spans="1:8">
      <c r="A16" s="178" t="s">
        <v>74</v>
      </c>
      <c r="B16" s="175"/>
      <c r="C16" s="175"/>
    </row>
    <row r="17" spans="1:13">
      <c r="A17" s="179"/>
      <c r="B17" s="175" t="s">
        <v>75</v>
      </c>
      <c r="C17" s="28" t="e">
        <f>'Année 1'!N69+#REF!+'Année 3'!N26</f>
        <v>#REF!</v>
      </c>
      <c r="H17" s="25"/>
    </row>
    <row r="18" spans="1:13">
      <c r="A18" s="175"/>
      <c r="B18" s="175" t="s">
        <v>76</v>
      </c>
      <c r="C18" s="28" t="e">
        <f>'Année 3'!Q26+#REF!+'Année 1'!Q69</f>
        <v>#REF!</v>
      </c>
      <c r="E18" s="24"/>
      <c r="G18" s="24"/>
    </row>
    <row r="19" spans="1:13">
      <c r="A19" s="175"/>
      <c r="B19" s="178" t="s">
        <v>77</v>
      </c>
      <c r="C19" s="10" t="e">
        <f>SUM(C17:C18)</f>
        <v>#REF!</v>
      </c>
    </row>
    <row r="21" spans="1:13" ht="18">
      <c r="A21" s="58"/>
    </row>
    <row r="22" spans="1:13" ht="18">
      <c r="A22" s="61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1:13">
      <c r="A23" s="60"/>
      <c r="B23" s="60"/>
      <c r="C23" s="60"/>
      <c r="D23" s="62"/>
      <c r="E23" s="60"/>
      <c r="F23" s="60"/>
      <c r="G23" s="60"/>
      <c r="H23" s="60"/>
      <c r="I23" s="62"/>
      <c r="J23" s="60"/>
      <c r="K23" s="60"/>
      <c r="L23" s="60"/>
      <c r="M23" s="60"/>
    </row>
    <row r="24" spans="1:13">
      <c r="A24" s="62"/>
      <c r="B24" s="62"/>
      <c r="C24" s="62"/>
      <c r="D24" s="63"/>
      <c r="E24" s="63"/>
      <c r="F24" s="63"/>
      <c r="G24" s="63"/>
      <c r="H24" s="64"/>
      <c r="I24" s="63"/>
      <c r="J24" s="63"/>
      <c r="K24" s="63"/>
      <c r="L24" s="63"/>
      <c r="M24" s="64"/>
    </row>
    <row r="25" spans="1:13">
      <c r="A25" s="62"/>
      <c r="B25" s="62"/>
      <c r="C25" s="62"/>
      <c r="D25" s="62"/>
      <c r="E25" s="62"/>
      <c r="F25" s="62"/>
      <c r="G25" s="62"/>
      <c r="H25" s="65"/>
      <c r="I25" s="62"/>
      <c r="J25" s="62"/>
      <c r="K25" s="62"/>
      <c r="L25" s="62"/>
      <c r="M25" s="65"/>
    </row>
    <row r="26" spans="1:13">
      <c r="A26" s="66"/>
      <c r="B26" s="62"/>
      <c r="C26" s="62"/>
      <c r="D26" s="62"/>
      <c r="E26" s="62"/>
      <c r="F26" s="62"/>
      <c r="G26" s="62"/>
      <c r="H26" s="65"/>
      <c r="I26" s="60"/>
      <c r="J26" s="60"/>
      <c r="K26" s="60"/>
      <c r="L26" s="60"/>
      <c r="M26" s="60"/>
    </row>
    <row r="27" spans="1:13">
      <c r="A27" s="66"/>
      <c r="B27" s="62"/>
      <c r="C27" s="62"/>
      <c r="D27" s="62"/>
      <c r="E27" s="62"/>
      <c r="F27" s="62"/>
      <c r="G27" s="62"/>
      <c r="H27" s="65"/>
      <c r="I27" s="60"/>
      <c r="J27" s="60"/>
      <c r="K27" s="60"/>
      <c r="L27" s="60"/>
      <c r="M27" s="60"/>
    </row>
    <row r="28" spans="1:13">
      <c r="A28" s="66"/>
      <c r="B28" s="62"/>
      <c r="C28" s="62"/>
      <c r="D28" s="62"/>
      <c r="E28" s="62"/>
      <c r="F28" s="62"/>
      <c r="G28" s="62"/>
      <c r="H28" s="65"/>
      <c r="I28" s="60"/>
      <c r="J28" s="60"/>
      <c r="K28" s="60"/>
      <c r="L28" s="60"/>
      <c r="M28" s="60"/>
    </row>
    <row r="29" spans="1:13">
      <c r="A29" s="62"/>
      <c r="B29" s="62"/>
      <c r="C29" s="62"/>
      <c r="D29" s="62"/>
      <c r="E29" s="62"/>
      <c r="F29" s="62"/>
      <c r="G29" s="62"/>
      <c r="H29" s="65"/>
      <c r="I29" s="62"/>
      <c r="J29" s="62"/>
      <c r="K29" s="62"/>
      <c r="L29" s="62"/>
      <c r="M29" s="65"/>
    </row>
    <row r="30" spans="1:13">
      <c r="A30" s="66"/>
      <c r="B30" s="60"/>
      <c r="C30" s="60"/>
      <c r="D30" s="62"/>
      <c r="E30" s="62"/>
      <c r="F30" s="62"/>
      <c r="G30" s="62"/>
      <c r="H30" s="65"/>
      <c r="I30" s="60"/>
      <c r="J30" s="60"/>
      <c r="K30" s="60"/>
      <c r="L30" s="62"/>
      <c r="M30" s="60"/>
    </row>
    <row r="31" spans="1:13">
      <c r="A31" s="66"/>
      <c r="B31" s="60"/>
      <c r="C31" s="60"/>
      <c r="D31" s="62"/>
      <c r="E31" s="62"/>
      <c r="F31" s="62"/>
      <c r="G31" s="62"/>
      <c r="H31" s="65"/>
      <c r="I31" s="60"/>
      <c r="J31" s="60"/>
      <c r="K31" s="60"/>
      <c r="L31" s="60"/>
      <c r="M31" s="60"/>
    </row>
    <row r="32" spans="1:13">
      <c r="A32" s="66"/>
      <c r="B32" s="60"/>
      <c r="C32" s="60"/>
      <c r="D32" s="62"/>
      <c r="E32" s="62"/>
      <c r="F32" s="62"/>
      <c r="G32" s="62"/>
      <c r="H32" s="65"/>
      <c r="I32" s="60"/>
      <c r="J32" s="60"/>
      <c r="K32" s="60"/>
      <c r="L32" s="60"/>
      <c r="M32" s="60"/>
    </row>
    <row r="33" spans="1:13">
      <c r="A33" s="62"/>
      <c r="B33" s="60"/>
      <c r="C33" s="60"/>
      <c r="D33" s="62"/>
      <c r="E33" s="62"/>
      <c r="F33" s="62"/>
      <c r="G33" s="62"/>
      <c r="H33" s="65"/>
      <c r="I33" s="62"/>
      <c r="J33" s="62"/>
      <c r="K33" s="62"/>
      <c r="L33" s="62"/>
      <c r="M33" s="65"/>
    </row>
    <row r="34" spans="1:13">
      <c r="A34" s="66"/>
      <c r="B34" s="60"/>
      <c r="C34" s="60"/>
      <c r="D34" s="62"/>
      <c r="E34" s="62"/>
      <c r="F34" s="62"/>
      <c r="G34" s="62"/>
      <c r="H34" s="65"/>
      <c r="I34" s="60"/>
      <c r="J34" s="60"/>
      <c r="K34" s="60"/>
      <c r="L34" s="60"/>
      <c r="M34" s="60"/>
    </row>
    <row r="35" spans="1:13">
      <c r="A35" s="62"/>
      <c r="B35" s="60"/>
      <c r="C35" s="60"/>
      <c r="D35" s="62"/>
      <c r="E35" s="62"/>
      <c r="F35" s="62"/>
      <c r="G35" s="62"/>
      <c r="H35" s="65"/>
      <c r="I35" s="60"/>
      <c r="J35" s="60"/>
      <c r="K35" s="60"/>
      <c r="L35" s="60"/>
      <c r="M35" s="60"/>
    </row>
  </sheetData>
  <phoneticPr fontId="8" type="noConversion"/>
  <pageMargins left="0.39370078740157483" right="0.19685039370078741" top="1.1023622047244095" bottom="0.35433070866141736" header="0.31496062992125984" footer="0.19685039370078741"/>
  <pageSetup paperSize="9" scale="71" orientation="portrait" r:id="rId1"/>
  <headerFooter>
    <oddHeader>&amp;L&amp;"+,Normal"&amp;14Promotion 2015-2018&amp;"Calibri,Normal"&amp;11
du  06/09/15 au 05/06/18&amp;R&amp;G</oddHeader>
    <oddFooter>&amp;L&amp;F&amp;R&amp;D</oddFooter>
  </headerFooter>
  <legacyDrawingHF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E68"/>
  <sheetViews>
    <sheetView workbookViewId="0">
      <selection activeCell="B40" sqref="A1:XFD1048576"/>
    </sheetView>
  </sheetViews>
  <sheetFormatPr baseColWidth="10" defaultRowHeight="14.4"/>
  <cols>
    <col min="1" max="1" width="13.44140625" customWidth="1"/>
    <col min="2" max="2" width="19.6640625" bestFit="1" customWidth="1"/>
    <col min="3" max="3" width="24.44140625" customWidth="1"/>
    <col min="4" max="4" width="43.44140625" customWidth="1"/>
    <col min="5" max="5" width="26" customWidth="1"/>
  </cols>
  <sheetData>
    <row r="1" spans="1:5" ht="99" customHeight="1">
      <c r="C1" s="108" t="s">
        <v>123</v>
      </c>
    </row>
    <row r="2" spans="1:5" ht="25.2">
      <c r="A2" s="109" t="s">
        <v>124</v>
      </c>
      <c r="B2" s="110"/>
      <c r="D2" s="109" t="s">
        <v>125</v>
      </c>
      <c r="E2" s="109" t="s">
        <v>190</v>
      </c>
    </row>
    <row r="3" spans="1:5" ht="27" customHeight="1">
      <c r="B3" s="109"/>
      <c r="C3" s="110"/>
    </row>
    <row r="5" spans="1:5" s="113" customFormat="1" ht="18">
      <c r="A5" s="111" t="s">
        <v>126</v>
      </c>
      <c r="B5" s="112">
        <v>41890</v>
      </c>
      <c r="C5" s="111"/>
      <c r="D5" s="111"/>
      <c r="E5" s="111"/>
    </row>
    <row r="6" spans="1:5" s="116" customFormat="1" ht="13.2">
      <c r="A6" s="114" t="s">
        <v>127</v>
      </c>
      <c r="B6" s="114"/>
      <c r="C6" s="115" t="s">
        <v>128</v>
      </c>
      <c r="D6" s="114" t="s">
        <v>129</v>
      </c>
      <c r="E6" s="114" t="s">
        <v>130</v>
      </c>
    </row>
    <row r="7" spans="1:5">
      <c r="A7" s="5"/>
      <c r="B7" s="5"/>
      <c r="C7" s="117"/>
      <c r="D7" s="5"/>
      <c r="E7" s="5"/>
    </row>
    <row r="8" spans="1:5">
      <c r="A8" s="118" t="s">
        <v>131</v>
      </c>
      <c r="B8" s="118" t="s">
        <v>132</v>
      </c>
      <c r="C8" s="119" t="s">
        <v>133</v>
      </c>
      <c r="D8" s="118" t="s">
        <v>134</v>
      </c>
      <c r="E8" s="118" t="s">
        <v>135</v>
      </c>
    </row>
    <row r="9" spans="1:5">
      <c r="A9" s="118"/>
      <c r="B9" s="118"/>
      <c r="C9" s="120"/>
      <c r="D9" s="118" t="s">
        <v>136</v>
      </c>
      <c r="E9" s="118" t="s">
        <v>137</v>
      </c>
    </row>
    <row r="10" spans="1:5">
      <c r="A10" s="118" t="s">
        <v>132</v>
      </c>
      <c r="B10" s="118" t="s">
        <v>138</v>
      </c>
      <c r="C10" s="120"/>
      <c r="D10" s="118" t="s">
        <v>139</v>
      </c>
      <c r="E10" s="118" t="s">
        <v>140</v>
      </c>
    </row>
    <row r="11" spans="1:5">
      <c r="A11" s="118"/>
      <c r="B11" s="118"/>
      <c r="C11" s="120"/>
      <c r="D11" s="118"/>
      <c r="E11" s="118"/>
    </row>
    <row r="12" spans="1:5">
      <c r="A12" s="118" t="s">
        <v>141</v>
      </c>
      <c r="B12" s="118" t="s">
        <v>142</v>
      </c>
      <c r="C12" s="120" t="s">
        <v>143</v>
      </c>
      <c r="D12" s="118" t="s">
        <v>144</v>
      </c>
      <c r="E12" s="118" t="s">
        <v>145</v>
      </c>
    </row>
    <row r="13" spans="1:5">
      <c r="A13" s="118"/>
      <c r="B13" s="118"/>
      <c r="C13" s="120"/>
      <c r="D13" s="118"/>
      <c r="E13" s="118" t="s">
        <v>146</v>
      </c>
    </row>
    <row r="14" spans="1:5">
      <c r="A14" s="118" t="s">
        <v>142</v>
      </c>
      <c r="B14" s="118" t="s">
        <v>147</v>
      </c>
      <c r="C14" s="120"/>
      <c r="D14" s="118" t="s">
        <v>148</v>
      </c>
      <c r="E14" s="118" t="s">
        <v>149</v>
      </c>
    </row>
    <row r="15" spans="1:5">
      <c r="A15" s="121"/>
      <c r="B15" s="117"/>
      <c r="C15" s="122"/>
      <c r="D15" s="122"/>
      <c r="E15" s="117"/>
    </row>
    <row r="16" spans="1:5">
      <c r="A16" s="123" t="s">
        <v>150</v>
      </c>
      <c r="B16" s="124" t="s">
        <v>151</v>
      </c>
      <c r="C16" s="125"/>
      <c r="D16" s="5" t="s">
        <v>152</v>
      </c>
      <c r="E16" s="5" t="s">
        <v>153</v>
      </c>
    </row>
    <row r="17" spans="1:5">
      <c r="A17" s="59"/>
    </row>
    <row r="18" spans="1:5" s="128" customFormat="1" ht="18.600000000000001" thickBot="1">
      <c r="A18" s="126" t="s">
        <v>154</v>
      </c>
      <c r="B18" s="127">
        <f>B5+1</f>
        <v>41891</v>
      </c>
      <c r="C18" s="126"/>
      <c r="D18" s="126"/>
      <c r="E18" s="126"/>
    </row>
    <row r="19" spans="1:5" ht="15" thickTop="1"/>
    <row r="20" spans="1:5">
      <c r="A20" s="118" t="s">
        <v>155</v>
      </c>
      <c r="B20" s="118" t="s">
        <v>138</v>
      </c>
      <c r="C20" s="118" t="s">
        <v>156</v>
      </c>
      <c r="D20" s="118" t="s">
        <v>157</v>
      </c>
      <c r="E20" s="118" t="s">
        <v>89</v>
      </c>
    </row>
    <row r="21" spans="1:5">
      <c r="A21" s="118"/>
      <c r="B21" s="118"/>
      <c r="C21" s="118"/>
      <c r="D21" s="118"/>
      <c r="E21" s="118"/>
    </row>
    <row r="22" spans="1:5">
      <c r="A22" s="118" t="s">
        <v>141</v>
      </c>
      <c r="B22" s="118" t="s">
        <v>158</v>
      </c>
      <c r="C22" s="118" t="s">
        <v>156</v>
      </c>
      <c r="D22" s="118" t="s">
        <v>2</v>
      </c>
      <c r="E22" s="118" t="s">
        <v>89</v>
      </c>
    </row>
    <row r="23" spans="1:5">
      <c r="A23" s="129"/>
      <c r="B23" s="5"/>
      <c r="C23" s="5"/>
      <c r="D23" s="5"/>
      <c r="E23" s="5"/>
    </row>
    <row r="24" spans="1:5">
      <c r="A24" s="5" t="s">
        <v>159</v>
      </c>
      <c r="B24" s="5" t="s">
        <v>160</v>
      </c>
      <c r="C24" s="5"/>
      <c r="D24" s="130" t="s">
        <v>161</v>
      </c>
      <c r="E24" s="124"/>
    </row>
    <row r="26" spans="1:5" s="128" customFormat="1" ht="18.600000000000001" thickBot="1">
      <c r="A26" s="126" t="s">
        <v>162</v>
      </c>
      <c r="B26" s="127">
        <f>B18+1</f>
        <v>41892</v>
      </c>
      <c r="C26" s="126"/>
      <c r="D26" s="126"/>
      <c r="E26" s="126"/>
    </row>
    <row r="27" spans="1:5" ht="15" thickTop="1"/>
    <row r="28" spans="1:5">
      <c r="A28" s="118" t="s">
        <v>155</v>
      </c>
      <c r="B28" s="118" t="s">
        <v>163</v>
      </c>
      <c r="C28" s="118" t="s">
        <v>164</v>
      </c>
      <c r="D28" s="131"/>
      <c r="E28" s="118" t="s">
        <v>165</v>
      </c>
    </row>
    <row r="29" spans="1:5">
      <c r="A29" s="5" t="s">
        <v>163</v>
      </c>
      <c r="B29" s="5" t="s">
        <v>166</v>
      </c>
      <c r="C29" s="130" t="s">
        <v>167</v>
      </c>
      <c r="D29" s="5" t="s">
        <v>168</v>
      </c>
      <c r="E29" s="124" t="s">
        <v>153</v>
      </c>
    </row>
    <row r="30" spans="1:5">
      <c r="A30" s="130" t="s">
        <v>166</v>
      </c>
      <c r="B30" s="130" t="s">
        <v>141</v>
      </c>
      <c r="C30" s="130"/>
      <c r="D30" s="5" t="s">
        <v>169</v>
      </c>
      <c r="E30" s="124" t="s">
        <v>153</v>
      </c>
    </row>
    <row r="31" spans="1:5">
      <c r="A31" s="118" t="s">
        <v>141</v>
      </c>
      <c r="B31" s="118" t="s">
        <v>158</v>
      </c>
      <c r="C31" s="118" t="s">
        <v>156</v>
      </c>
      <c r="D31" s="118" t="s">
        <v>2</v>
      </c>
      <c r="E31" s="118" t="s">
        <v>89</v>
      </c>
    </row>
    <row r="32" spans="1:5">
      <c r="A32" s="5" t="s">
        <v>170</v>
      </c>
      <c r="B32" s="5" t="s">
        <v>160</v>
      </c>
      <c r="C32" s="5"/>
      <c r="D32" s="5" t="s">
        <v>171</v>
      </c>
      <c r="E32" s="124" t="s">
        <v>153</v>
      </c>
    </row>
    <row r="34" spans="1:5" s="128" customFormat="1" ht="18.600000000000001" thickBot="1">
      <c r="A34" s="126" t="s">
        <v>172</v>
      </c>
      <c r="B34" s="127">
        <f>B26+1</f>
        <v>41893</v>
      </c>
      <c r="C34" s="126"/>
      <c r="D34"/>
      <c r="E34" s="126"/>
    </row>
    <row r="35" spans="1:5" ht="15" thickTop="1">
      <c r="D35" s="132"/>
    </row>
    <row r="36" spans="1:5">
      <c r="A36" s="118" t="s">
        <v>155</v>
      </c>
      <c r="B36" s="118" t="s">
        <v>138</v>
      </c>
      <c r="C36" s="118" t="s">
        <v>156</v>
      </c>
      <c r="D36" s="118" t="s">
        <v>2</v>
      </c>
      <c r="E36" s="118" t="s">
        <v>89</v>
      </c>
    </row>
    <row r="37" spans="1:5">
      <c r="A37" s="5"/>
      <c r="B37" s="5"/>
      <c r="C37" s="5"/>
      <c r="D37" s="5"/>
      <c r="E37" s="5"/>
    </row>
    <row r="38" spans="1:5">
      <c r="A38" s="5" t="s">
        <v>173</v>
      </c>
      <c r="B38" s="5" t="s">
        <v>147</v>
      </c>
      <c r="C38" s="5" t="s">
        <v>174</v>
      </c>
      <c r="D38" s="130" t="s">
        <v>175</v>
      </c>
      <c r="E38" s="124" t="s">
        <v>153</v>
      </c>
    </row>
    <row r="39" spans="1:5">
      <c r="A39" s="5"/>
      <c r="B39" s="5"/>
      <c r="C39" s="5"/>
      <c r="D39" s="5"/>
      <c r="E39" s="5"/>
    </row>
    <row r="40" spans="1:5">
      <c r="A40" s="5" t="s">
        <v>170</v>
      </c>
      <c r="B40" s="5" t="s">
        <v>160</v>
      </c>
      <c r="C40" s="5" t="s">
        <v>176</v>
      </c>
      <c r="D40" s="5" t="s">
        <v>177</v>
      </c>
      <c r="E40" s="5" t="s">
        <v>153</v>
      </c>
    </row>
    <row r="41" spans="1:5" s="128" customFormat="1" ht="18.600000000000001" thickBot="1">
      <c r="A41" s="126" t="s">
        <v>178</v>
      </c>
      <c r="B41" s="127">
        <f>B34+1</f>
        <v>41894</v>
      </c>
      <c r="C41" s="126"/>
      <c r="D41" s="126"/>
      <c r="E41" s="126"/>
    </row>
    <row r="42" spans="1:5" ht="15" thickTop="1"/>
    <row r="43" spans="1:5">
      <c r="A43" s="118" t="s">
        <v>155</v>
      </c>
      <c r="B43" s="118" t="s">
        <v>179</v>
      </c>
      <c r="C43" s="118" t="s">
        <v>156</v>
      </c>
      <c r="D43" s="118" t="s">
        <v>2</v>
      </c>
      <c r="E43" s="118" t="s">
        <v>89</v>
      </c>
    </row>
    <row r="44" spans="1:5">
      <c r="A44" s="5" t="s">
        <v>179</v>
      </c>
      <c r="B44" s="5" t="s">
        <v>180</v>
      </c>
      <c r="C44" s="5"/>
      <c r="D44" s="5" t="s">
        <v>181</v>
      </c>
      <c r="E44" s="124" t="s">
        <v>153</v>
      </c>
    </row>
    <row r="45" spans="1:5">
      <c r="A45" s="118" t="s">
        <v>180</v>
      </c>
      <c r="B45" s="118" t="s">
        <v>138</v>
      </c>
      <c r="C45" s="118" t="s">
        <v>156</v>
      </c>
      <c r="D45" s="118" t="s">
        <v>2</v>
      </c>
      <c r="E45" s="118" t="s">
        <v>89</v>
      </c>
    </row>
    <row r="46" spans="1:5">
      <c r="A46" s="118"/>
      <c r="B46" s="118"/>
      <c r="C46" s="118"/>
      <c r="D46" s="118"/>
      <c r="E46" s="118"/>
    </row>
    <row r="47" spans="1:5">
      <c r="A47" s="118" t="s">
        <v>141</v>
      </c>
      <c r="B47" s="118" t="s">
        <v>158</v>
      </c>
      <c r="C47" s="118" t="s">
        <v>156</v>
      </c>
      <c r="D47" s="118" t="s">
        <v>2</v>
      </c>
      <c r="E47" s="118" t="s">
        <v>89</v>
      </c>
    </row>
    <row r="48" spans="1:5">
      <c r="A48" s="5"/>
      <c r="B48" s="5"/>
      <c r="C48" s="5"/>
      <c r="D48" s="5"/>
      <c r="E48" s="5"/>
    </row>
    <row r="49" spans="1:5">
      <c r="A49" s="129" t="s">
        <v>150</v>
      </c>
      <c r="B49" s="129" t="s">
        <v>160</v>
      </c>
      <c r="C49" s="5" t="s">
        <v>182</v>
      </c>
      <c r="D49" s="129" t="s">
        <v>183</v>
      </c>
      <c r="E49" s="129" t="s">
        <v>153</v>
      </c>
    </row>
    <row r="50" spans="1:5">
      <c r="A50" s="103"/>
      <c r="B50" s="103"/>
      <c r="C50" s="103"/>
      <c r="D50" s="103"/>
      <c r="E50" s="103"/>
    </row>
    <row r="52" spans="1:5" s="128" customFormat="1" ht="18.600000000000001" thickBot="1">
      <c r="A52" s="126" t="s">
        <v>184</v>
      </c>
      <c r="B52" s="127">
        <f>B5+7</f>
        <v>41897</v>
      </c>
      <c r="C52" s="126"/>
      <c r="D52" s="126"/>
      <c r="E52" s="126"/>
    </row>
    <row r="53" spans="1:5" ht="15" thickTop="1"/>
    <row r="54" spans="1:5">
      <c r="A54" s="133" t="s">
        <v>192</v>
      </c>
      <c r="B54" s="134"/>
      <c r="C54" s="122"/>
      <c r="D54" s="122"/>
      <c r="E54" s="117"/>
    </row>
    <row r="57" spans="1:5" ht="18">
      <c r="A57" s="111" t="s">
        <v>154</v>
      </c>
      <c r="B57" s="112">
        <f>B52+1</f>
        <v>41898</v>
      </c>
    </row>
    <row r="59" spans="1:5">
      <c r="A59" s="5" t="s">
        <v>150</v>
      </c>
      <c r="B59" s="5" t="s">
        <v>160</v>
      </c>
      <c r="C59" s="5"/>
      <c r="D59" s="5" t="s">
        <v>185</v>
      </c>
      <c r="E59" s="5" t="s">
        <v>186</v>
      </c>
    </row>
    <row r="62" spans="1:5" s="128" customFormat="1" ht="18.600000000000001" thickBot="1">
      <c r="A62" s="126" t="s">
        <v>187</v>
      </c>
      <c r="B62" s="127">
        <f>B57+3</f>
        <v>41901</v>
      </c>
      <c r="C62" s="126"/>
      <c r="D62" s="126"/>
      <c r="E62" s="126"/>
    </row>
    <row r="63" spans="1:5" ht="15" thickTop="1">
      <c r="A63" s="133" t="s">
        <v>188</v>
      </c>
      <c r="B63" s="134"/>
      <c r="C63" s="122"/>
      <c r="D63" s="122"/>
      <c r="E63" s="117"/>
    </row>
    <row r="66" spans="1:5" ht="18.600000000000001" thickBot="1">
      <c r="A66" s="126" t="s">
        <v>117</v>
      </c>
      <c r="B66" s="127" t="s">
        <v>191</v>
      </c>
      <c r="C66" s="126"/>
      <c r="D66" s="126"/>
      <c r="E66" s="126"/>
    </row>
    <row r="67" spans="1:5" ht="15" thickTop="1"/>
    <row r="68" spans="1:5">
      <c r="A68" s="134" t="s">
        <v>191</v>
      </c>
      <c r="B68" s="134"/>
      <c r="C68" s="122"/>
      <c r="D68" s="121" t="s">
        <v>189</v>
      </c>
      <c r="E68" s="5" t="s">
        <v>186</v>
      </c>
    </row>
  </sheetData>
  <pageMargins left="0.39370078740157483" right="0.19685039370078741" top="1.1023622047244095" bottom="0.35433070866141736" header="0.31496062992125984" footer="0.19685039370078741"/>
  <pageSetup paperSize="9" scale="64" orientation="portrait" r:id="rId1"/>
  <headerFooter>
    <oddHeader>&amp;L&amp;"+,Normal"&amp;14Promotion 2015-2018&amp;"Calibri,Normal"&amp;11
du  06/09/15 au 05/06/18&amp;R&amp;G</oddHeader>
    <oddFooter>&amp;L&amp;F&amp;R&amp;D</oddFooter>
  </headerFooter>
  <drawing r:id="rId2"/>
  <legacyDrawingHF r:id="rId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UE-A1</vt:lpstr>
      <vt:lpstr>Année 1</vt:lpstr>
      <vt:lpstr>UE-A2</vt:lpstr>
      <vt:lpstr>Année 2</vt:lpstr>
      <vt:lpstr>UE-A3</vt:lpstr>
      <vt:lpstr>UE-A3 (old)</vt:lpstr>
      <vt:lpstr>Année 3</vt:lpstr>
      <vt:lpstr>Totaux_ects_et_heures</vt:lpstr>
      <vt:lpstr>Maquette totale TC</vt:lpstr>
      <vt:lpstr>Semaine rentrée</vt:lpstr>
      <vt:lpstr>'Année 1'!Zone_d_impression</vt:lpstr>
      <vt:lpstr>'Année 2'!Zone_d_impression</vt:lpstr>
      <vt:lpstr>'Année 3'!Zone_d_impression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Christelle Debize</dc:creator>
  <cp:lastModifiedBy>Sebastien Peychet</cp:lastModifiedBy>
  <cp:revision>0</cp:revision>
  <cp:lastPrinted>2018-05-22T13:07:58Z</cp:lastPrinted>
  <dcterms:created xsi:type="dcterms:W3CDTF">2011-04-22T13:20:15Z</dcterms:created>
  <dcterms:modified xsi:type="dcterms:W3CDTF">2018-05-31T14:41:44Z</dcterms:modified>
</cp:coreProperties>
</file>